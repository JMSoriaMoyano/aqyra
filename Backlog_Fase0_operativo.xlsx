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ro" sheetId="1" state="visible" r:id="rId1"/>
    <sheet xmlns:r="http://schemas.openxmlformats.org/officeDocument/2006/relationships" name="Gantt" sheetId="2" state="visible" r:id="rId2"/>
    <sheet xmlns:r="http://schemas.openxmlformats.org/officeDocument/2006/relationships" name="Backlog" sheetId="3" state="visible" r:id="rId3"/>
    <sheet xmlns:r="http://schemas.openxmlformats.org/officeDocument/2006/relationships" name="Épicas" sheetId="4" state="visible" r:id="rId4"/>
    <sheet xmlns:r="http://schemas.openxmlformats.org/officeDocument/2006/relationships" name="Roles" sheetId="5" state="visible" r:id="rId5"/>
  </sheets>
  <definedNames>
    <definedName name="_xlnm._FilterDatabase" localSheetId="2" hidden="1">'Backlog'!$A$1:$L$32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B2A38"/>
      <sz val="10"/>
    </font>
    <font>
      <name val="Arial"/>
      <b val="1"/>
      <color rgb="001B2A38"/>
      <sz val="10"/>
    </font>
    <font>
      <name val="Arial"/>
      <b val="1"/>
      <color rgb="00B5670F"/>
      <sz val="10"/>
    </font>
    <font>
      <name val="Arial"/>
      <b val="1"/>
      <color rgb="0016324F"/>
      <sz val="16"/>
    </font>
    <font>
      <name val="Arial"/>
      <i val="1"/>
      <color rgb="005C6B7C"/>
      <sz val="10"/>
    </font>
    <font>
      <name val="Arial"/>
      <b val="1"/>
      <color rgb="00B5670F"/>
      <sz val="11"/>
    </font>
    <font>
      <name val="Arial"/>
      <b val="1"/>
      <color rgb="005C6B7C"/>
      <sz val="9"/>
    </font>
    <font>
      <name val="Arial"/>
      <b val="1"/>
      <color rgb="0016324F"/>
      <sz val="20"/>
    </font>
    <font>
      <name val="Arial"/>
      <b val="1"/>
      <color rgb="002E7D52"/>
      <sz val="20"/>
    </font>
    <font>
      <name val="Arial"/>
      <b val="1"/>
      <color rgb="00B5670F"/>
      <sz val="20"/>
    </font>
    <font>
      <name val="Arial"/>
      <b val="1"/>
      <color rgb="00B23A2E"/>
      <sz val="20"/>
    </font>
    <font>
      <name val="Arial"/>
      <i val="1"/>
      <color rgb="005C6B7C"/>
      <sz val="9"/>
    </font>
    <font>
      <name val="Arial"/>
      <b val="1"/>
      <color rgb="0016324F"/>
      <sz val="14"/>
    </font>
    <font>
      <name val="Arial"/>
      <b val="1"/>
      <color rgb="001B2A38"/>
      <sz val="9"/>
    </font>
    <font>
      <name val="Arial"/>
      <color rgb="001B2A38"/>
      <sz val="9"/>
    </font>
    <font>
      <name val="Arial"/>
      <b val="1"/>
      <color rgb="00B5670F"/>
      <sz val="9"/>
    </font>
    <font>
      <name val="Arial"/>
      <i val="1"/>
      <color rgb="005C6B7C"/>
      <sz val="8"/>
    </font>
  </fonts>
  <fills count="10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AF3F1"/>
      </patternFill>
    </fill>
    <fill>
      <patternFill patternType="solid">
        <fgColor rgb="00FBF1E3"/>
      </patternFill>
    </fill>
    <fill>
      <patternFill patternType="solid">
        <fgColor rgb="00EAEFF4"/>
      </patternFill>
    </fill>
    <fill>
      <patternFill patternType="solid">
        <fgColor rgb="00FFFDE7"/>
      </patternFill>
    </fill>
    <fill>
      <patternFill patternType="solid">
        <fgColor rgb="003AA6A0"/>
      </patternFill>
    </fill>
    <fill>
      <patternFill patternType="solid">
        <fgColor rgb="00E8902E"/>
      </patternFill>
    </fill>
    <fill>
      <patternFill patternType="solid">
        <fgColor rgb="002E6E8E"/>
      </patternFill>
    </fill>
  </fills>
  <borders count="3">
    <border>
      <left/>
      <right/>
      <top/>
      <bottom/>
      <diagonal/>
    </border>
    <border>
      <left style="thin">
        <color rgb="00C7D2DC"/>
      </left>
      <right style="thin">
        <color rgb="00C7D2DC"/>
      </right>
      <top style="thin">
        <color rgb="00C7D2DC"/>
      </top>
      <bottom style="thin">
        <color rgb="00C7D2DC"/>
      </bottom>
    </border>
    <border>
      <left style="thin">
        <color rgb="00D7DEE6"/>
      </left>
      <right style="thin">
        <color rgb="00D7DEE6"/>
      </right>
      <top style="thin">
        <color rgb="00D7DEE6"/>
      </top>
      <bottom style="thin">
        <color rgb="00D7DEE6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9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9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left" vertical="center"/>
    </xf>
    <xf numFmtId="0" fontId="1" fillId="7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15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/>
    </xf>
    <xf numFmtId="0" fontId="17" fillId="0" borderId="2" applyAlignment="1" pivotButton="0" quotePrefix="0" xfId="0">
      <alignment horizontal="center" vertical="center"/>
    </xf>
    <xf numFmtId="0" fontId="0" fillId="7" borderId="2" pivotButton="0" quotePrefix="0" xfId="0"/>
    <xf numFmtId="0" fontId="0" fillId="0" borderId="2" pivotButton="0" quotePrefix="0" xfId="0"/>
    <xf numFmtId="0" fontId="16" fillId="0" borderId="2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8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  <xf numFmtId="0" fontId="0" fillId="8" borderId="2" pivotButton="0" quotePrefix="0" xfId="0"/>
    <xf numFmtId="0" fontId="1" fillId="8" borderId="2" applyAlignment="1" pivotButton="0" quotePrefix="0" xfId="0">
      <alignment horizontal="center" vertical="center"/>
    </xf>
    <xf numFmtId="0" fontId="1" fillId="9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0" fillId="9" borderId="2" pivotButton="0" quotePrefix="0" xfId="0"/>
    <xf numFmtId="0" fontId="1" fillId="9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name val="Arial"/>
        <b val="1"/>
        <color rgb="002E7D52"/>
        <sz val="10"/>
      </font>
      <fill>
        <patternFill patternType="solid">
          <fgColor rgb="00D6EBDD"/>
        </patternFill>
      </fill>
    </dxf>
    <dxf>
      <font>
        <name val="Arial"/>
        <b val="1"/>
        <color rgb="00B23A2E"/>
        <sz val="10"/>
      </font>
      <fill>
        <patternFill patternType="solid">
          <fgColor rgb="00F6D9D5"/>
        </patternFill>
      </fill>
    </dxf>
    <dxf>
      <fill>
        <patternFill patternType="solid">
          <fgColor rgb="00FBEFD0"/>
        </patternFill>
      </fill>
    </dxf>
    <dxf>
      <fill>
        <patternFill patternType="solid">
          <fgColor rgb="00ECEF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2" customWidth="1" min="4" max="4"/>
    <col width="3" customWidth="1" min="5" max="5"/>
    <col width="30" customWidth="1" min="6" max="6"/>
    <col width="14" customWidth="1" min="7" max="7"/>
    <col width="14" customWidth="1" min="8" max="8"/>
  </cols>
  <sheetData>
    <row r="2">
      <c r="B2" s="1" t="inlineStr">
        <is>
          <t>FASE 0 — CIMENTAR  ·  BACKLOG OPERATIVO</t>
        </is>
      </c>
    </row>
    <row r="3">
      <c r="B3" s="2" t="inlineStr">
        <is>
          <t>Horizonte 0–6 meses  ·  planteamiento dual (Track A interno + Track B wedge) sobre la espina dorsal de industrialización</t>
        </is>
      </c>
    </row>
    <row r="5">
      <c r="B5" s="3" t="inlineStr">
        <is>
          <t>INDICADORES</t>
        </is>
      </c>
    </row>
    <row r="6">
      <c r="B6" s="4" t="inlineStr">
        <is>
          <t>Tareas totales</t>
        </is>
      </c>
      <c r="C6" s="4" t="inlineStr">
        <is>
          <t>Esfuerzo total (sem)</t>
        </is>
      </c>
      <c r="D6" s="4" t="inlineStr">
        <is>
          <t>% completado</t>
        </is>
      </c>
      <c r="F6" s="4" t="inlineStr">
        <is>
          <t>Tareas P0 (críticas)</t>
        </is>
      </c>
      <c r="G6" s="4" t="inlineStr">
        <is>
          <t>Bloqueadas</t>
        </is>
      </c>
    </row>
    <row r="7">
      <c r="B7" s="5">
        <f>COUNTA(Backlog!A2:A32)</f>
        <v/>
      </c>
      <c r="C7" s="5">
        <f>SUM(Backlog!H2:H32)</f>
        <v/>
      </c>
      <c r="D7" s="6">
        <f>IF(B7=0,0,COUNTIF(Backlog!J2:J32,"Hecho")/B7)</f>
        <v/>
      </c>
      <c r="F7" s="7">
        <f>COUNTIF(Backlog!G2:G32,"P0")</f>
        <v/>
      </c>
      <c r="G7" s="8">
        <f>COUNTIF(Backlog!J2:J32,"Bloqueado")</f>
        <v/>
      </c>
    </row>
    <row r="10">
      <c r="B10" s="3" t="inlineStr">
        <is>
          <t>POR ESTADO</t>
        </is>
      </c>
      <c r="F10" s="3" t="inlineStr">
        <is>
          <t>CRITERIO DE SALIDA (GATE PARA INICIAR LA FASE 1)</t>
        </is>
      </c>
    </row>
    <row r="11">
      <c r="B11" s="9" t="inlineStr">
        <is>
          <t>Estado</t>
        </is>
      </c>
      <c r="C11" s="9" t="inlineStr">
        <is>
          <t>Nº</t>
        </is>
      </c>
      <c r="F11" s="9" t="inlineStr">
        <is>
          <t>Hito del gate</t>
        </is>
      </c>
      <c r="G11" s="9" t="inlineStr">
        <is>
          <t>Épica</t>
        </is>
      </c>
      <c r="H11" s="9" t="inlineStr">
        <is>
          <t>Estado</t>
        </is>
      </c>
    </row>
    <row r="12" ht="30" customHeight="1">
      <c r="B12" s="10" t="inlineStr">
        <is>
          <t>Pendiente</t>
        </is>
      </c>
      <c r="C12" s="11">
        <f>COUNTIF(Backlog!J2:J32,"Pendiente")</f>
        <v/>
      </c>
      <c r="F12" s="12" t="inlineStr">
        <is>
          <t>Suite de casos golden cubriendo módulos críticos y en verde</t>
        </is>
      </c>
      <c r="G12" s="11" t="inlineStr">
        <is>
          <t>N2</t>
        </is>
      </c>
      <c r="H12" s="11" t="inlineStr">
        <is>
          <t>Pendiente</t>
        </is>
      </c>
    </row>
    <row r="13" ht="30" customHeight="1">
      <c r="B13" s="10" t="inlineStr">
        <is>
          <t>En curso</t>
        </is>
      </c>
      <c r="C13" s="11">
        <f>COUNTIF(Backlog!J2:J32,"En curso")</f>
        <v/>
      </c>
      <c r="F13" s="12" t="inlineStr">
        <is>
          <t>Baseline de ROI interno documentado</t>
        </is>
      </c>
      <c r="G13" s="11" t="inlineStr">
        <is>
          <t>A2</t>
        </is>
      </c>
      <c r="H13" s="11" t="inlineStr">
        <is>
          <t>Pendiente</t>
        </is>
      </c>
    </row>
    <row r="14" ht="30" customHeight="1">
      <c r="B14" s="10" t="inlineStr">
        <is>
          <t>Bloqueado</t>
        </is>
      </c>
      <c r="C14" s="11">
        <f>COUNTIF(Backlog!J2:J32,"Bloqueado")</f>
        <v/>
      </c>
      <c r="F14" s="12" t="inlineStr">
        <is>
          <t>PRD del wedge aprobado</t>
        </is>
      </c>
      <c r="G14" s="11" t="inlineStr">
        <is>
          <t>B1</t>
        </is>
      </c>
      <c r="H14" s="11" t="inlineStr">
        <is>
          <t>Pendiente</t>
        </is>
      </c>
    </row>
    <row r="15" ht="30" customHeight="1">
      <c r="B15" s="10" t="inlineStr">
        <is>
          <t>Hecho</t>
        </is>
      </c>
      <c r="C15" s="11">
        <f>COUNTIF(Backlog!J2:J32,"Hecho")</f>
        <v/>
      </c>
      <c r="F15" s="12" t="inlineStr">
        <is>
          <t>≥3 cartas de intención (LOI) firmadas</t>
        </is>
      </c>
      <c r="G15" s="11" t="inlineStr">
        <is>
          <t>B3</t>
        </is>
      </c>
      <c r="H15" s="11" t="inlineStr">
        <is>
          <t>Pendiente</t>
        </is>
      </c>
    </row>
    <row r="18">
      <c r="B18" s="3" t="inlineStr">
        <is>
          <t>POR TRACK</t>
        </is>
      </c>
      <c r="F18" s="3" t="inlineStr">
        <is>
          <t>NOTA</t>
        </is>
      </c>
    </row>
    <row r="19">
      <c r="B19" s="9" t="inlineStr">
        <is>
          <t>Track</t>
        </is>
      </c>
      <c r="C19" s="9" t="inlineStr">
        <is>
          <t>Nº</t>
        </is>
      </c>
      <c r="D19" s="9" t="inlineStr">
        <is>
          <t>Sem</t>
        </is>
      </c>
      <c r="F19" s="13" t="inlineStr">
        <is>
          <t>Roles orientativos (rellena nombres reales en la hoja Roles). Estimaciones en semanas-persona. Las celdas con lista despegable están en Backlog (Track, Responsable, Prioridad, Mes, Estado).</t>
        </is>
      </c>
    </row>
    <row r="20">
      <c r="B20" s="10" t="inlineStr">
        <is>
          <t>A · Interno</t>
        </is>
      </c>
      <c r="C20" s="11">
        <f>COUNTIF(Backlog!B2:B32,"A · Interno")</f>
        <v/>
      </c>
      <c r="D20" s="11">
        <f>SUMIF(Backlog!B2:B32,"A · Interno",Backlog!H2:H32)</f>
        <v/>
      </c>
    </row>
    <row r="21">
      <c r="B21" s="10" t="inlineStr">
        <is>
          <t>B · Wedge</t>
        </is>
      </c>
      <c r="C21" s="11">
        <f>COUNTIF(Backlog!B2:B32,"B · Wedge")</f>
        <v/>
      </c>
      <c r="D21" s="11">
        <f>SUMIF(Backlog!B2:B32,"B · Wedge",Backlog!H2:H32)</f>
        <v/>
      </c>
    </row>
    <row r="22">
      <c r="B22" s="10" t="inlineStr">
        <is>
          <t>N · Núcleo/Industrialización</t>
        </is>
      </c>
      <c r="C22" s="11">
        <f>COUNTIF(Backlog!B2:B32,"N · Núcleo/Industrialización")</f>
        <v/>
      </c>
      <c r="D22" s="11">
        <f>SUMIF(Backlog!B2:B32,"N · Núcleo/Industrialización",Backlog!H2:H32)</f>
        <v/>
      </c>
    </row>
  </sheetData>
  <mergeCells count="1">
    <mergeCell ref="F19:H22"/>
  </mergeCells>
  <conditionalFormatting sqref="H12:H15">
    <cfRule type="cellIs" priority="1" operator="equal" dxfId="0">
      <formula>"Cumplido"</formula>
    </cfRule>
  </conditionalFormatting>
  <dataValidations count="1">
    <dataValidation sqref="H12:H15" showDropDown="0" showInputMessage="0" showErrorMessage="0" allowBlank="1" type="list">
      <formula1>"Pendiente,En curso,Cumplido"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4" customWidth="1" min="2" max="2"/>
    <col width="20" customWidth="1" min="3" max="3"/>
    <col width="6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</cols>
  <sheetData>
    <row r="1">
      <c r="A1" s="27" t="inlineStr">
        <is>
          <t>DIAGRAMA DE GANTT — FASE 0 · CIMENTAR</t>
        </is>
      </c>
    </row>
    <row r="2">
      <c r="A2" s="28" t="inlineStr">
        <is>
          <t>Horizonte 0–6 meses · barras según mes objetivo y esfuerzo estimado · ◆ = entregable de fase</t>
        </is>
      </c>
    </row>
    <row r="4" ht="18" customHeight="1">
      <c r="A4" s="29" t="inlineStr">
        <is>
          <t>ID</t>
        </is>
      </c>
      <c r="B4" s="30" t="inlineStr">
        <is>
          <t>Tarea</t>
        </is>
      </c>
      <c r="C4" s="30" t="inlineStr">
        <is>
          <t>Responsable</t>
        </is>
      </c>
      <c r="D4" s="29" t="inlineStr">
        <is>
          <t>Pri.</t>
        </is>
      </c>
      <c r="E4" s="29" t="inlineStr">
        <is>
          <t>M1</t>
        </is>
      </c>
      <c r="F4" s="29" t="inlineStr">
        <is>
          <t>M2</t>
        </is>
      </c>
      <c r="G4" s="29" t="inlineStr">
        <is>
          <t>M3</t>
        </is>
      </c>
      <c r="H4" s="29" t="inlineStr">
        <is>
          <t>M4</t>
        </is>
      </c>
      <c r="I4" s="29" t="inlineStr">
        <is>
          <t>M5</t>
        </is>
      </c>
      <c r="J4" s="29" t="inlineStr">
        <is>
          <t>M6</t>
        </is>
      </c>
    </row>
    <row r="5" ht="16" customHeight="1">
      <c r="A5" s="31" t="inlineStr">
        <is>
          <t>TRACK A · USO INTERNO</t>
        </is>
      </c>
      <c r="B5" s="32" t="inlineStr"/>
      <c r="C5" s="32" t="inlineStr"/>
      <c r="D5" s="32" t="inlineStr"/>
      <c r="E5" s="32" t="inlineStr"/>
      <c r="F5" s="32" t="inlineStr"/>
      <c r="G5" s="32" t="inlineStr"/>
      <c r="H5" s="32" t="inlineStr"/>
      <c r="I5" s="32" t="inlineStr"/>
      <c r="J5" s="32" t="inlineStr"/>
    </row>
    <row r="6" ht="26" customHeight="1">
      <c r="A6" s="33" t="inlineStr">
        <is>
          <t>A1.1</t>
        </is>
      </c>
      <c r="B6" s="34" t="inlineStr">
        <is>
          <t>Seleccionar 2-3 proyectos propios representativos</t>
        </is>
      </c>
      <c r="C6" s="35" t="inlineStr">
        <is>
          <t>Dirección (JM)</t>
        </is>
      </c>
      <c r="D6" s="36" t="inlineStr">
        <is>
          <t>P0</t>
        </is>
      </c>
      <c r="E6" s="37" t="n"/>
      <c r="F6" s="38" t="n"/>
      <c r="G6" s="38" t="n"/>
      <c r="H6" s="38" t="n"/>
      <c r="I6" s="38" t="n"/>
      <c r="J6" s="38" t="n"/>
    </row>
    <row r="7" ht="26" customHeight="1">
      <c r="A7" s="33" t="inlineStr">
        <is>
          <t>A2.1</t>
        </is>
      </c>
      <c r="B7" s="34" t="inlineStr">
        <is>
          <t>Definir métricas (horas/entregable, tasa de retrabajo)</t>
        </is>
      </c>
      <c r="C7" s="35" t="inlineStr">
        <is>
          <t>Producto (PM)</t>
        </is>
      </c>
      <c r="D7" s="36" t="inlineStr">
        <is>
          <t>P0</t>
        </is>
      </c>
      <c r="E7" s="37" t="n"/>
      <c r="F7" s="38" t="n"/>
      <c r="G7" s="38" t="n"/>
      <c r="H7" s="38" t="n"/>
      <c r="I7" s="38" t="n"/>
      <c r="J7" s="38" t="n"/>
    </row>
    <row r="8" ht="26" customHeight="1">
      <c r="A8" s="33" t="inlineStr">
        <is>
          <t>A2.2</t>
        </is>
      </c>
      <c r="B8" s="34" t="inlineStr">
        <is>
          <t>Instrumentar el registro de tiempos</t>
        </is>
      </c>
      <c r="C8" s="35" t="inlineStr">
        <is>
          <t>Producto (PM)</t>
        </is>
      </c>
      <c r="D8" s="39" t="inlineStr">
        <is>
          <t>P1</t>
        </is>
      </c>
      <c r="E8" s="37" t="n"/>
      <c r="F8" s="38" t="n"/>
      <c r="G8" s="38" t="n"/>
      <c r="H8" s="38" t="n"/>
      <c r="I8" s="38" t="n"/>
      <c r="J8" s="38" t="n"/>
    </row>
    <row r="9" ht="26" customHeight="1">
      <c r="A9" s="33" t="inlineStr">
        <is>
          <t>A1.2</t>
        </is>
      </c>
      <c r="B9" s="34" t="inlineStr">
        <is>
          <t>Ejecutar cada proyecto end-to-end con el ecosistema</t>
        </is>
      </c>
      <c r="C9" s="35" t="inlineStr">
        <is>
          <t>Ing. Núcleo / FEM</t>
        </is>
      </c>
      <c r="D9" s="36" t="inlineStr">
        <is>
          <t>P0</t>
        </is>
      </c>
      <c r="E9" s="37" t="n"/>
      <c r="F9" s="37" t="n"/>
      <c r="G9" s="38" t="n"/>
      <c r="H9" s="38" t="n"/>
      <c r="I9" s="38" t="n"/>
      <c r="J9" s="38" t="n"/>
    </row>
    <row r="10" ht="26" customHeight="1">
      <c r="A10" s="33" t="inlineStr">
        <is>
          <t>A1.3</t>
        </is>
      </c>
      <c r="B10" s="34" t="inlineStr">
        <is>
          <t>Registrar incidencias, fricciones y tiempos</t>
        </is>
      </c>
      <c r="C10" s="35" t="inlineStr">
        <is>
          <t>QA / Verificación</t>
        </is>
      </c>
      <c r="D10" s="39" t="inlineStr">
        <is>
          <t>P1</t>
        </is>
      </c>
      <c r="E10" s="38" t="n"/>
      <c r="F10" s="37" t="n"/>
      <c r="G10" s="38" t="n"/>
      <c r="H10" s="38" t="n"/>
      <c r="I10" s="38" t="n"/>
      <c r="J10" s="38" t="n"/>
    </row>
    <row r="11" ht="26" customHeight="1">
      <c r="A11" s="33" t="inlineStr">
        <is>
          <t>A1.4</t>
        </is>
      </c>
      <c r="B11" s="34" t="inlineStr">
        <is>
          <t>Documentar criterios de despacho en la memoria</t>
        </is>
      </c>
      <c r="C11" s="35" t="inlineStr">
        <is>
          <t>Dirección (JM)</t>
        </is>
      </c>
      <c r="D11" s="39" t="inlineStr">
        <is>
          <t>P1</t>
        </is>
      </c>
      <c r="E11" s="38" t="n"/>
      <c r="F11" s="38" t="n"/>
      <c r="G11" s="37" t="n"/>
      <c r="H11" s="38" t="n"/>
      <c r="I11" s="38" t="n"/>
      <c r="J11" s="38" t="n"/>
    </row>
    <row r="12" ht="26" customHeight="1">
      <c r="A12" s="33" t="inlineStr">
        <is>
          <t>A2.3</t>
        </is>
      </c>
      <c r="B12" s="34" t="inlineStr">
        <is>
          <t>Recoger datos en los proyectos piloto</t>
        </is>
      </c>
      <c r="C12" s="35" t="inlineStr">
        <is>
          <t>QA / Verificación</t>
        </is>
      </c>
      <c r="D12" s="39" t="inlineStr">
        <is>
          <t>P1</t>
        </is>
      </c>
      <c r="E12" s="38" t="n"/>
      <c r="F12" s="38" t="n"/>
      <c r="G12" s="37" t="n"/>
      <c r="H12" s="38" t="n"/>
      <c r="I12" s="38" t="n"/>
      <c r="J12" s="38" t="n"/>
    </row>
    <row r="13" ht="26" customHeight="1">
      <c r="A13" s="33" t="inlineStr">
        <is>
          <t>A2.4</t>
        </is>
      </c>
      <c r="B13" s="34" t="inlineStr">
        <is>
          <t>Redactar la Memoria de baseline de ROI</t>
        </is>
      </c>
      <c r="C13" s="35" t="inlineStr">
        <is>
          <t>Dirección (JM)</t>
        </is>
      </c>
      <c r="D13" s="36" t="inlineStr">
        <is>
          <t>P0</t>
        </is>
      </c>
      <c r="E13" s="38" t="n"/>
      <c r="F13" s="38" t="n"/>
      <c r="G13" s="38" t="n"/>
      <c r="H13" s="40" t="inlineStr">
        <is>
          <t>◆</t>
        </is>
      </c>
      <c r="I13" s="38" t="n"/>
      <c r="J13" s="38" t="n"/>
    </row>
    <row r="14" ht="16" customHeight="1">
      <c r="A14" s="41" t="inlineStr">
        <is>
          <t>TRACK B · WEDGE BIM/CUMPLIMIENTO</t>
        </is>
      </c>
      <c r="B14" s="42" t="inlineStr"/>
      <c r="C14" s="42" t="inlineStr"/>
      <c r="D14" s="42" t="inlineStr"/>
      <c r="E14" s="42" t="inlineStr"/>
      <c r="F14" s="42" t="inlineStr"/>
      <c r="G14" s="42" t="inlineStr"/>
      <c r="H14" s="42" t="inlineStr"/>
      <c r="I14" s="42" t="inlineStr"/>
      <c r="J14" s="42" t="inlineStr"/>
    </row>
    <row r="15" ht="26" customHeight="1">
      <c r="A15" s="33" t="inlineStr">
        <is>
          <t>B1.1</t>
        </is>
      </c>
      <c r="B15" s="34" t="inlineStr">
        <is>
          <t>Delimitar el alcance funcional (Visor + ISO 19650 + CTE)</t>
        </is>
      </c>
      <c r="C15" s="35" t="inlineStr">
        <is>
          <t>Producto (PM)</t>
        </is>
      </c>
      <c r="D15" s="36" t="inlineStr">
        <is>
          <t>P0</t>
        </is>
      </c>
      <c r="E15" s="43" t="n"/>
      <c r="F15" s="38" t="n"/>
      <c r="G15" s="38" t="n"/>
      <c r="H15" s="38" t="n"/>
      <c r="I15" s="38" t="n"/>
      <c r="J15" s="38" t="n"/>
    </row>
    <row r="16" ht="26" customHeight="1">
      <c r="A16" s="33" t="inlineStr">
        <is>
          <t>B1.2</t>
        </is>
      </c>
      <c r="B16" s="34" t="inlineStr">
        <is>
          <t>Definir la frontera con el cálculo (qué queda fuera)</t>
        </is>
      </c>
      <c r="C16" s="35" t="inlineStr">
        <is>
          <t>Producto (PM)</t>
        </is>
      </c>
      <c r="D16" s="36" t="inlineStr">
        <is>
          <t>P0</t>
        </is>
      </c>
      <c r="E16" s="43" t="n"/>
      <c r="F16" s="38" t="n"/>
      <c r="G16" s="38" t="n"/>
      <c r="H16" s="38" t="n"/>
      <c r="I16" s="38" t="n"/>
      <c r="J16" s="38" t="n"/>
    </row>
    <row r="17" ht="26" customHeight="1">
      <c r="A17" s="33" t="inlineStr">
        <is>
          <t>B1.3</t>
        </is>
      </c>
      <c r="B17" s="34" t="inlineStr">
        <is>
          <t>Definir buyer persona y propuesta de valor</t>
        </is>
      </c>
      <c r="C17" s="35" t="inlineStr">
        <is>
          <t>Negocio / Comercial</t>
        </is>
      </c>
      <c r="D17" s="39" t="inlineStr">
        <is>
          <t>P1</t>
        </is>
      </c>
      <c r="E17" s="38" t="n"/>
      <c r="F17" s="43" t="n"/>
      <c r="G17" s="38" t="n"/>
      <c r="H17" s="38" t="n"/>
      <c r="I17" s="38" t="n"/>
      <c r="J17" s="38" t="n"/>
    </row>
    <row r="18" ht="26" customHeight="1">
      <c r="A18" s="33" t="inlineStr">
        <is>
          <t>B1.4</t>
        </is>
      </c>
      <c r="B18" s="34" t="inlineStr">
        <is>
          <t>Pricing preliminar y modelo de suscripción</t>
        </is>
      </c>
      <c r="C18" s="35" t="inlineStr">
        <is>
          <t>Negocio / Comercial</t>
        </is>
      </c>
      <c r="D18" s="39" t="inlineStr">
        <is>
          <t>P1</t>
        </is>
      </c>
      <c r="E18" s="38" t="n"/>
      <c r="F18" s="43" t="n"/>
      <c r="G18" s="38" t="n"/>
      <c r="H18" s="38" t="n"/>
      <c r="I18" s="38" t="n"/>
      <c r="J18" s="38" t="n"/>
    </row>
    <row r="19" ht="26" customHeight="1">
      <c r="A19" s="33" t="inlineStr">
        <is>
          <t>B2.1</t>
        </is>
      </c>
      <c r="B19" s="34" t="inlineStr">
        <is>
          <t>Inventariar componentes existentes y su madurez</t>
        </is>
      </c>
      <c r="C19" s="35" t="inlineStr">
        <is>
          <t>Ing. BIM / IFC</t>
        </is>
      </c>
      <c r="D19" s="36" t="inlineStr">
        <is>
          <t>P0</t>
        </is>
      </c>
      <c r="E19" s="38" t="n"/>
      <c r="F19" s="43" t="n"/>
      <c r="G19" s="38" t="n"/>
      <c r="H19" s="38" t="n"/>
      <c r="I19" s="38" t="n"/>
      <c r="J19" s="38" t="n"/>
    </row>
    <row r="20" ht="26" customHeight="1">
      <c r="A20" s="33" t="inlineStr">
        <is>
          <t>B3.1</t>
        </is>
      </c>
      <c r="B20" s="34" t="inlineStr">
        <is>
          <t>Identificar 3-5 despachos candidatos</t>
        </is>
      </c>
      <c r="C20" s="35" t="inlineStr">
        <is>
          <t>Negocio / Comercial</t>
        </is>
      </c>
      <c r="D20" s="36" t="inlineStr">
        <is>
          <t>P0</t>
        </is>
      </c>
      <c r="E20" s="38" t="n"/>
      <c r="F20" s="43" t="n"/>
      <c r="G20" s="38" t="n"/>
      <c r="H20" s="38" t="n"/>
      <c r="I20" s="38" t="n"/>
      <c r="J20" s="38" t="n"/>
    </row>
    <row r="21" ht="26" customHeight="1">
      <c r="A21" s="33" t="inlineStr">
        <is>
          <t>B1.5</t>
        </is>
      </c>
      <c r="B21" s="34" t="inlineStr">
        <is>
          <t>Redactar y aprobar el PRD</t>
        </is>
      </c>
      <c r="C21" s="35" t="inlineStr">
        <is>
          <t>Producto (PM)</t>
        </is>
      </c>
      <c r="D21" s="36" t="inlineStr">
        <is>
          <t>P0</t>
        </is>
      </c>
      <c r="E21" s="38" t="n"/>
      <c r="F21" s="38" t="n"/>
      <c r="G21" s="44" t="inlineStr">
        <is>
          <t>◆</t>
        </is>
      </c>
      <c r="H21" s="38" t="n"/>
      <c r="I21" s="38" t="n"/>
      <c r="J21" s="38" t="n"/>
    </row>
    <row r="22" ht="26" customHeight="1">
      <c r="A22" s="33" t="inlineStr">
        <is>
          <t>B2.2</t>
        </is>
      </c>
      <c r="B22" s="34" t="inlineStr">
        <is>
          <t>Identificar gaps funcionales del MVP</t>
        </is>
      </c>
      <c r="C22" s="35" t="inlineStr">
        <is>
          <t>Ing. BIM / IFC</t>
        </is>
      </c>
      <c r="D22" s="39" t="inlineStr">
        <is>
          <t>P1</t>
        </is>
      </c>
      <c r="E22" s="38" t="n"/>
      <c r="F22" s="38" t="n"/>
      <c r="G22" s="43" t="n"/>
      <c r="H22" s="38" t="n"/>
      <c r="I22" s="38" t="n"/>
      <c r="J22" s="38" t="n"/>
    </row>
    <row r="23" ht="26" customHeight="1">
      <c r="A23" s="33" t="inlineStr">
        <is>
          <t>B3.2</t>
        </is>
      </c>
      <c r="B23" s="34" t="inlineStr">
        <is>
          <t>Preparar material de pitch / demo</t>
        </is>
      </c>
      <c r="C23" s="35" t="inlineStr">
        <is>
          <t>Negocio / Comercial</t>
        </is>
      </c>
      <c r="D23" s="39" t="inlineStr">
        <is>
          <t>P1</t>
        </is>
      </c>
      <c r="E23" s="38" t="n"/>
      <c r="F23" s="38" t="n"/>
      <c r="G23" s="43" t="n"/>
      <c r="H23" s="38" t="n"/>
      <c r="I23" s="38" t="n"/>
      <c r="J23" s="38" t="n"/>
    </row>
    <row r="24" ht="26" customHeight="1">
      <c r="A24" s="33" t="inlineStr">
        <is>
          <t>B2.3</t>
        </is>
      </c>
      <c r="B24" s="34" t="inlineStr">
        <is>
          <t>Plan de empaquetado como aplicación web</t>
        </is>
      </c>
      <c r="C24" s="35" t="inlineStr">
        <is>
          <t>Ing. BIM / IFC</t>
        </is>
      </c>
      <c r="D24" s="39" t="inlineStr">
        <is>
          <t>P1</t>
        </is>
      </c>
      <c r="E24" s="38" t="n"/>
      <c r="F24" s="38" t="n"/>
      <c r="G24" s="38" t="n"/>
      <c r="H24" s="43" t="n"/>
      <c r="I24" s="38" t="n"/>
      <c r="J24" s="38" t="n"/>
    </row>
    <row r="25" ht="26" customHeight="1">
      <c r="A25" s="33" t="inlineStr">
        <is>
          <t>B3.3</t>
        </is>
      </c>
      <c r="B25" s="34" t="inlineStr">
        <is>
          <t>Contactar y cualificar candidatos</t>
        </is>
      </c>
      <c r="C25" s="35" t="inlineStr">
        <is>
          <t>Negocio / Comercial</t>
        </is>
      </c>
      <c r="D25" s="39" t="inlineStr">
        <is>
          <t>P1</t>
        </is>
      </c>
      <c r="E25" s="38" t="n"/>
      <c r="F25" s="38" t="n"/>
      <c r="G25" s="38" t="n"/>
      <c r="H25" s="43" t="n"/>
      <c r="I25" s="38" t="n"/>
      <c r="J25" s="38" t="n"/>
    </row>
    <row r="26" ht="26" customHeight="1">
      <c r="A26" s="33" t="inlineStr">
        <is>
          <t>B3.4</t>
        </is>
      </c>
      <c r="B26" s="34" t="inlineStr">
        <is>
          <t>Firmar cartas de intención (LOI)</t>
        </is>
      </c>
      <c r="C26" s="35" t="inlineStr">
        <is>
          <t>Dirección (JM)</t>
        </is>
      </c>
      <c r="D26" s="36" t="inlineStr">
        <is>
          <t>P0</t>
        </is>
      </c>
      <c r="E26" s="38" t="n"/>
      <c r="F26" s="38" t="n"/>
      <c r="G26" s="38" t="n"/>
      <c r="H26" s="38" t="n"/>
      <c r="I26" s="44" t="inlineStr">
        <is>
          <t>◆</t>
        </is>
      </c>
      <c r="J26" s="38" t="n"/>
    </row>
    <row r="27" ht="16" customHeight="1">
      <c r="A27" s="45" t="inlineStr">
        <is>
          <t>TRACK N · NÚCLEO / INDUSTRIALIZACIÓN</t>
        </is>
      </c>
      <c r="B27" s="46" t="inlineStr"/>
      <c r="C27" s="46" t="inlineStr"/>
      <c r="D27" s="46" t="inlineStr"/>
      <c r="E27" s="46" t="inlineStr"/>
      <c r="F27" s="46" t="inlineStr"/>
      <c r="G27" s="46" t="inlineStr"/>
      <c r="H27" s="46" t="inlineStr"/>
      <c r="I27" s="46" t="inlineStr"/>
      <c r="J27" s="46" t="inlineStr"/>
    </row>
    <row r="28" ht="26" customHeight="1">
      <c r="A28" s="33" t="inlineStr">
        <is>
          <t>N1.1</t>
        </is>
      </c>
      <c r="B28" s="34" t="inlineStr">
        <is>
          <t>Consolidar monorepo y control de versiones</t>
        </is>
      </c>
      <c r="C28" s="35" t="inlineStr">
        <is>
          <t>Ing. Núcleo / FEM</t>
        </is>
      </c>
      <c r="D28" s="36" t="inlineStr">
        <is>
          <t>P0</t>
        </is>
      </c>
      <c r="E28" s="47" t="n"/>
      <c r="F28" s="38" t="n"/>
      <c r="G28" s="38" t="n"/>
      <c r="H28" s="38" t="n"/>
      <c r="I28" s="38" t="n"/>
      <c r="J28" s="38" t="n"/>
    </row>
    <row r="29" ht="26" customHeight="1">
      <c r="A29" s="33" t="inlineStr">
        <is>
          <t>N3.1</t>
        </is>
      </c>
      <c r="B29" s="34" t="inlineStr">
        <is>
          <t>Definir KPIs de la fase y umbrales del gate</t>
        </is>
      </c>
      <c r="C29" s="35" t="inlineStr">
        <is>
          <t>Dirección (JM)</t>
        </is>
      </c>
      <c r="D29" s="39" t="inlineStr">
        <is>
          <t>P1</t>
        </is>
      </c>
      <c r="E29" s="47" t="n"/>
      <c r="F29" s="38" t="n"/>
      <c r="G29" s="38" t="n"/>
      <c r="H29" s="38" t="n"/>
      <c r="I29" s="38" t="n"/>
      <c r="J29" s="38" t="n"/>
    </row>
    <row r="30" ht="26" customHeight="1">
      <c r="A30" s="33" t="inlineStr">
        <is>
          <t>N3.2</t>
        </is>
      </c>
      <c r="B30" s="34" t="inlineStr">
        <is>
          <t>Tablero de seguimiento del backlog</t>
        </is>
      </c>
      <c r="C30" s="35" t="inlineStr">
        <is>
          <t>Producto (PM)</t>
        </is>
      </c>
      <c r="D30" s="39" t="inlineStr">
        <is>
          <t>P1</t>
        </is>
      </c>
      <c r="E30" s="47" t="n"/>
      <c r="F30" s="38" t="n"/>
      <c r="G30" s="38" t="n"/>
      <c r="H30" s="38" t="n"/>
      <c r="I30" s="38" t="n"/>
      <c r="J30" s="38" t="n"/>
    </row>
    <row r="31" ht="26" customHeight="1">
      <c r="A31" s="33" t="inlineStr">
        <is>
          <t>N1.2</t>
        </is>
      </c>
      <c r="B31" s="34" t="inlineStr">
        <is>
          <t>Fijar dependencias y build determinista</t>
        </is>
      </c>
      <c r="C31" s="35" t="inlineStr">
        <is>
          <t>Ing. Núcleo / FEM</t>
        </is>
      </c>
      <c r="D31" s="36" t="inlineStr">
        <is>
          <t>P0</t>
        </is>
      </c>
      <c r="E31" s="38" t="n"/>
      <c r="F31" s="47" t="n"/>
      <c r="G31" s="38" t="n"/>
      <c r="H31" s="38" t="n"/>
      <c r="I31" s="38" t="n"/>
      <c r="J31" s="38" t="n"/>
    </row>
    <row r="32" ht="26" customHeight="1">
      <c r="A32" s="33" t="inlineStr">
        <is>
          <t>N1.3</t>
        </is>
      </c>
      <c r="B32" s="34" t="inlineStr">
        <is>
          <t>Empaquetado firmado de núcleo y plugins</t>
        </is>
      </c>
      <c r="C32" s="35" t="inlineStr">
        <is>
          <t>Ing. Núcleo / FEM</t>
        </is>
      </c>
      <c r="D32" s="39" t="inlineStr">
        <is>
          <t>P1</t>
        </is>
      </c>
      <c r="E32" s="38" t="n"/>
      <c r="F32" s="47" t="n"/>
      <c r="G32" s="38" t="n"/>
      <c r="H32" s="38" t="n"/>
      <c r="I32" s="38" t="n"/>
      <c r="J32" s="38" t="n"/>
    </row>
    <row r="33" ht="26" customHeight="1">
      <c r="A33" s="33" t="inlineStr">
        <is>
          <t>N2.2</t>
        </is>
      </c>
      <c r="B33" s="34" t="inlineStr">
        <is>
          <t>Definir el oráculo numérico de referencia</t>
        </is>
      </c>
      <c r="C33" s="35" t="inlineStr">
        <is>
          <t>Ing. Núcleo / FEM</t>
        </is>
      </c>
      <c r="D33" s="36" t="inlineStr">
        <is>
          <t>P0</t>
        </is>
      </c>
      <c r="E33" s="38" t="n"/>
      <c r="F33" s="47" t="n"/>
      <c r="G33" s="38" t="n"/>
      <c r="H33" s="38" t="n"/>
      <c r="I33" s="38" t="n"/>
      <c r="J33" s="38" t="n"/>
    </row>
    <row r="34" ht="26" customHeight="1">
      <c r="A34" s="33" t="inlineStr">
        <is>
          <t>N1.4</t>
        </is>
      </c>
      <c r="B34" s="34" t="inlineStr">
        <is>
          <t>Documentar la toolchain</t>
        </is>
      </c>
      <c r="C34" s="35" t="inlineStr">
        <is>
          <t>Ing. Núcleo / FEM</t>
        </is>
      </c>
      <c r="D34" s="39" t="inlineStr">
        <is>
          <t>P2</t>
        </is>
      </c>
      <c r="E34" s="38" t="n"/>
      <c r="F34" s="38" t="n"/>
      <c r="G34" s="47" t="n"/>
      <c r="H34" s="38" t="n"/>
      <c r="I34" s="38" t="n"/>
      <c r="J34" s="38" t="n"/>
    </row>
    <row r="35" ht="26" customHeight="1">
      <c r="A35" s="33" t="inlineStr">
        <is>
          <t>N2.1</t>
        </is>
      </c>
      <c r="B35" s="34" t="inlineStr">
        <is>
          <t>Formalizar casos existentes (PUE/LIN/INC) como suite</t>
        </is>
      </c>
      <c r="C35" s="35" t="inlineStr">
        <is>
          <t>QA / Verificación</t>
        </is>
      </c>
      <c r="D35" s="36" t="inlineStr">
        <is>
          <t>P0</t>
        </is>
      </c>
      <c r="E35" s="38" t="n"/>
      <c r="F35" s="38" t="n"/>
      <c r="G35" s="47" t="n"/>
      <c r="H35" s="38" t="n"/>
      <c r="I35" s="38" t="n"/>
      <c r="J35" s="38" t="n"/>
    </row>
    <row r="36" ht="26" customHeight="1">
      <c r="A36" s="33" t="inlineStr">
        <is>
          <t>N2.3</t>
        </is>
      </c>
      <c r="B36" s="34" t="inlineStr">
        <is>
          <t>Automatizar las puertas espejo/APTO</t>
        </is>
      </c>
      <c r="C36" s="35" t="inlineStr">
        <is>
          <t>QA / Verificación</t>
        </is>
      </c>
      <c r="D36" s="36" t="inlineStr">
        <is>
          <t>P0</t>
        </is>
      </c>
      <c r="E36" s="38" t="n"/>
      <c r="F36" s="38" t="n"/>
      <c r="G36" s="38" t="n"/>
      <c r="H36" s="47" t="n"/>
      <c r="I36" s="38" t="n"/>
      <c r="J36" s="38" t="n"/>
    </row>
    <row r="37" ht="26" customHeight="1">
      <c r="A37" s="33" t="inlineStr">
        <is>
          <t>N3.3</t>
        </is>
      </c>
      <c r="B37" s="34" t="inlineStr">
        <is>
          <t>Instrumentación básica de coste de inferencia</t>
        </is>
      </c>
      <c r="C37" s="35" t="inlineStr">
        <is>
          <t>Ing. Núcleo / FEM</t>
        </is>
      </c>
      <c r="D37" s="39" t="inlineStr">
        <is>
          <t>P2</t>
        </is>
      </c>
      <c r="E37" s="38" t="n"/>
      <c r="F37" s="38" t="n"/>
      <c r="G37" s="38" t="n"/>
      <c r="H37" s="47" t="n"/>
      <c r="I37" s="38" t="n"/>
      <c r="J37" s="38" t="n"/>
    </row>
    <row r="38" ht="26" customHeight="1">
      <c r="A38" s="33" t="inlineStr">
        <is>
          <t>N2.4</t>
        </is>
      </c>
      <c r="B38" s="34" t="inlineStr">
        <is>
          <t>Informe de validación numérica (baseline)</t>
        </is>
      </c>
      <c r="C38" s="35" t="inlineStr">
        <is>
          <t>QA / Verificación</t>
        </is>
      </c>
      <c r="D38" s="36" t="inlineStr">
        <is>
          <t>P0</t>
        </is>
      </c>
      <c r="E38" s="38" t="n"/>
      <c r="F38" s="38" t="n"/>
      <c r="G38" s="38" t="n"/>
      <c r="H38" s="38" t="n"/>
      <c r="I38" s="48" t="inlineStr">
        <is>
          <t>◆</t>
        </is>
      </c>
      <c r="J38" s="38" t="n"/>
    </row>
    <row r="40">
      <c r="A40" s="49" t="inlineStr">
        <is>
          <t>LEYENDA</t>
        </is>
      </c>
    </row>
    <row r="41">
      <c r="A41" s="32" t="inlineStr"/>
      <c r="B41" s="50" t="inlineStr">
        <is>
          <t>Track A · uso interno</t>
        </is>
      </c>
    </row>
    <row r="42">
      <c r="A42" s="42" t="inlineStr"/>
      <c r="B42" s="50" t="inlineStr">
        <is>
          <t>Track B · wedge</t>
        </is>
      </c>
    </row>
    <row r="43">
      <c r="A43" s="46" t="inlineStr"/>
      <c r="B43" s="50" t="inlineStr">
        <is>
          <t>Track N · núcleo/industrialización</t>
        </is>
      </c>
    </row>
    <row r="44">
      <c r="A44" s="51" t="inlineStr">
        <is>
          <t>◆</t>
        </is>
      </c>
      <c r="B44" s="50" t="inlineStr">
        <is>
          <t>Entregable de fase (hito)</t>
        </is>
      </c>
    </row>
    <row r="46">
      <c r="B46" s="52" t="inlineStr">
        <is>
          <t>Nota: el mes de fin coincide con el 'Mes obj.' del Backlog; el inicio se estima a partir del esfuerzo (semanas).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0" customWidth="1" min="3" max="3"/>
    <col width="34" customWidth="1" min="4" max="4"/>
    <col width="40" customWidth="1" min="5" max="5"/>
    <col width="20" customWidth="1" min="6" max="6"/>
    <col width="9" customWidth="1" min="7" max="7"/>
    <col width="9" customWidth="1" min="8" max="8"/>
    <col width="8" customWidth="1" min="9" max="9"/>
    <col width="12" customWidth="1" min="10" max="10"/>
    <col width="9" customWidth="1" min="11" max="11"/>
    <col width="12" customWidth="1" min="12" max="12"/>
  </cols>
  <sheetData>
    <row r="1" ht="30" customHeight="1">
      <c r="A1" s="9" t="inlineStr">
        <is>
          <t>ID</t>
        </is>
      </c>
      <c r="B1" s="9" t="inlineStr">
        <is>
          <t>Track</t>
        </is>
      </c>
      <c r="C1" s="9" t="inlineStr">
        <is>
          <t>Épica</t>
        </is>
      </c>
      <c r="D1" s="9" t="inlineStr">
        <is>
          <t>Tarea</t>
        </is>
      </c>
      <c r="E1" s="9" t="inlineStr">
        <is>
          <t>Entregable / Definición de hecho</t>
        </is>
      </c>
      <c r="F1" s="9" t="inlineStr">
        <is>
          <t>Responsable (rol)</t>
        </is>
      </c>
      <c r="G1" s="9" t="inlineStr">
        <is>
          <t>Prioridad</t>
        </is>
      </c>
      <c r="H1" s="9" t="inlineStr">
        <is>
          <t>Estim. (sem)</t>
        </is>
      </c>
      <c r="I1" s="9" t="inlineStr">
        <is>
          <t>Mes obj.</t>
        </is>
      </c>
      <c r="J1" s="9" t="inlineStr">
        <is>
          <t>Estado</t>
        </is>
      </c>
      <c r="K1" s="9" t="inlineStr">
        <is>
          <t>Avance %</t>
        </is>
      </c>
      <c r="L1" s="9" t="inlineStr">
        <is>
          <t>Depende de</t>
        </is>
      </c>
    </row>
    <row r="2">
      <c r="A2" s="14" t="inlineStr">
        <is>
          <t>A1.1</t>
        </is>
      </c>
      <c r="B2" s="15" t="inlineStr">
        <is>
          <t>A · Interno</t>
        </is>
      </c>
      <c r="C2" s="16" t="inlineStr">
        <is>
          <t>A1 · Operación en proyectos piloto internos</t>
        </is>
      </c>
      <c r="D2" s="16" t="inlineStr">
        <is>
          <t>Seleccionar 2-3 proyectos propios representativos</t>
        </is>
      </c>
      <c r="E2" s="16" t="inlineStr">
        <is>
          <t>Lista de proyectos con alcance y disciplinas implicadas</t>
        </is>
      </c>
      <c r="F2" s="11" t="inlineStr">
        <is>
          <t>Dirección (JM)</t>
        </is>
      </c>
      <c r="G2" s="11" t="inlineStr">
        <is>
          <t>P0</t>
        </is>
      </c>
      <c r="H2" s="11" t="n">
        <v>1</v>
      </c>
      <c r="I2" s="11" t="inlineStr">
        <is>
          <t>M1</t>
        </is>
      </c>
      <c r="J2" s="11" t="inlineStr">
        <is>
          <t>Pendiente</t>
        </is>
      </c>
      <c r="K2" s="17" t="n">
        <v>0</v>
      </c>
      <c r="L2" s="16" t="inlineStr"/>
    </row>
    <row r="3">
      <c r="A3" s="14" t="inlineStr">
        <is>
          <t>A1.2</t>
        </is>
      </c>
      <c r="B3" s="15" t="inlineStr">
        <is>
          <t>A · Interno</t>
        </is>
      </c>
      <c r="C3" s="16" t="inlineStr">
        <is>
          <t>A1 · Operación en proyectos piloto internos</t>
        </is>
      </c>
      <c r="D3" s="16" t="inlineStr">
        <is>
          <t>Ejecutar cada proyecto end-to-end con el ecosistema</t>
        </is>
      </c>
      <c r="E3" s="16" t="inlineStr">
        <is>
          <t>Proyectos calculados/documentados con los agentes</t>
        </is>
      </c>
      <c r="F3" s="11" t="inlineStr">
        <is>
          <t>Ing. Núcleo / FEM</t>
        </is>
      </c>
      <c r="G3" s="11" t="inlineStr">
        <is>
          <t>P0</t>
        </is>
      </c>
      <c r="H3" s="11" t="n">
        <v>8</v>
      </c>
      <c r="I3" s="11" t="inlineStr">
        <is>
          <t>M2</t>
        </is>
      </c>
      <c r="J3" s="11" t="inlineStr">
        <is>
          <t>Pendiente</t>
        </is>
      </c>
      <c r="K3" s="17" t="n">
        <v>0</v>
      </c>
      <c r="L3" s="16" t="inlineStr">
        <is>
          <t>A1.1</t>
        </is>
      </c>
    </row>
    <row r="4">
      <c r="A4" s="14" t="inlineStr">
        <is>
          <t>A1.3</t>
        </is>
      </c>
      <c r="B4" s="15" t="inlineStr">
        <is>
          <t>A · Interno</t>
        </is>
      </c>
      <c r="C4" s="16" t="inlineStr">
        <is>
          <t>A1 · Operación en proyectos piloto internos</t>
        </is>
      </c>
      <c r="D4" s="16" t="inlineStr">
        <is>
          <t>Registrar incidencias, fricciones y tiempos</t>
        </is>
      </c>
      <c r="E4" s="16" t="inlineStr">
        <is>
          <t>Registro de incidencias y log de tiempos por tarea</t>
        </is>
      </c>
      <c r="F4" s="11" t="inlineStr">
        <is>
          <t>QA / Verificación</t>
        </is>
      </c>
      <c r="G4" s="11" t="inlineStr">
        <is>
          <t>P1</t>
        </is>
      </c>
      <c r="H4" s="11" t="n">
        <v>4</v>
      </c>
      <c r="I4" s="11" t="inlineStr">
        <is>
          <t>M2</t>
        </is>
      </c>
      <c r="J4" s="11" t="inlineStr">
        <is>
          <t>Pendiente</t>
        </is>
      </c>
      <c r="K4" s="17" t="n">
        <v>0</v>
      </c>
      <c r="L4" s="16" t="inlineStr">
        <is>
          <t>A1.2</t>
        </is>
      </c>
    </row>
    <row r="5">
      <c r="A5" s="14" t="inlineStr">
        <is>
          <t>A1.4</t>
        </is>
      </c>
      <c r="B5" s="15" t="inlineStr">
        <is>
          <t>A · Interno</t>
        </is>
      </c>
      <c r="C5" s="16" t="inlineStr">
        <is>
          <t>A1 · Operación en proyectos piloto internos</t>
        </is>
      </c>
      <c r="D5" s="16" t="inlineStr">
        <is>
          <t>Documentar criterios de despacho en la memoria</t>
        </is>
      </c>
      <c r="E5" s="16" t="inlineStr">
        <is>
          <t>Memoria de criterios de despacho actualizada</t>
        </is>
      </c>
      <c r="F5" s="11" t="inlineStr">
        <is>
          <t>Dirección (JM)</t>
        </is>
      </c>
      <c r="G5" s="11" t="inlineStr">
        <is>
          <t>P1</t>
        </is>
      </c>
      <c r="H5" s="11" t="n">
        <v>3</v>
      </c>
      <c r="I5" s="11" t="inlineStr">
        <is>
          <t>M3</t>
        </is>
      </c>
      <c r="J5" s="11" t="inlineStr">
        <is>
          <t>Pendiente</t>
        </is>
      </c>
      <c r="K5" s="17" t="n">
        <v>0</v>
      </c>
      <c r="L5" s="16" t="inlineStr">
        <is>
          <t>A1.2</t>
        </is>
      </c>
    </row>
    <row r="6">
      <c r="A6" s="14" t="inlineStr">
        <is>
          <t>A2.1</t>
        </is>
      </c>
      <c r="B6" s="15" t="inlineStr">
        <is>
          <t>A · Interno</t>
        </is>
      </c>
      <c r="C6" s="16" t="inlineStr">
        <is>
          <t>A2 · Baseline de ROI interno</t>
        </is>
      </c>
      <c r="D6" s="16" t="inlineStr">
        <is>
          <t>Definir métricas (horas/entregable, tasa de retrabajo)</t>
        </is>
      </c>
      <c r="E6" s="16" t="inlineStr">
        <is>
          <t>Cuadro de métricas y método de medición</t>
        </is>
      </c>
      <c r="F6" s="11" t="inlineStr">
        <is>
          <t>Producto (PM)</t>
        </is>
      </c>
      <c r="G6" s="11" t="inlineStr">
        <is>
          <t>P0</t>
        </is>
      </c>
      <c r="H6" s="11" t="n">
        <v>1</v>
      </c>
      <c r="I6" s="11" t="inlineStr">
        <is>
          <t>M1</t>
        </is>
      </c>
      <c r="J6" s="11" t="inlineStr">
        <is>
          <t>Pendiente</t>
        </is>
      </c>
      <c r="K6" s="17" t="n">
        <v>0</v>
      </c>
      <c r="L6" s="16" t="inlineStr"/>
    </row>
    <row r="7">
      <c r="A7" s="14" t="inlineStr">
        <is>
          <t>A2.2</t>
        </is>
      </c>
      <c r="B7" s="15" t="inlineStr">
        <is>
          <t>A · Interno</t>
        </is>
      </c>
      <c r="C7" s="16" t="inlineStr">
        <is>
          <t>A2 · Baseline de ROI interno</t>
        </is>
      </c>
      <c r="D7" s="16" t="inlineStr">
        <is>
          <t>Instrumentar el registro de tiempos</t>
        </is>
      </c>
      <c r="E7" s="16" t="inlineStr">
        <is>
          <t>Plantilla/herramienta de registro operativa</t>
        </is>
      </c>
      <c r="F7" s="11" t="inlineStr">
        <is>
          <t>Producto (PM)</t>
        </is>
      </c>
      <c r="G7" s="11" t="inlineStr">
        <is>
          <t>P1</t>
        </is>
      </c>
      <c r="H7" s="11" t="n">
        <v>2</v>
      </c>
      <c r="I7" s="11" t="inlineStr">
        <is>
          <t>M1</t>
        </is>
      </c>
      <c r="J7" s="11" t="inlineStr">
        <is>
          <t>Pendiente</t>
        </is>
      </c>
      <c r="K7" s="17" t="n">
        <v>0</v>
      </c>
      <c r="L7" s="16" t="inlineStr">
        <is>
          <t>A2.1</t>
        </is>
      </c>
    </row>
    <row r="8">
      <c r="A8" s="14" t="inlineStr">
        <is>
          <t>A2.3</t>
        </is>
      </c>
      <c r="B8" s="15" t="inlineStr">
        <is>
          <t>A · Interno</t>
        </is>
      </c>
      <c r="C8" s="16" t="inlineStr">
        <is>
          <t>A2 · Baseline de ROI interno</t>
        </is>
      </c>
      <c r="D8" s="16" t="inlineStr">
        <is>
          <t>Recoger datos en los proyectos piloto</t>
        </is>
      </c>
      <c r="E8" s="16" t="inlineStr">
        <is>
          <t>Dataset de horas y retrabajo por entregable</t>
        </is>
      </c>
      <c r="F8" s="11" t="inlineStr">
        <is>
          <t>QA / Verificación</t>
        </is>
      </c>
      <c r="G8" s="11" t="inlineStr">
        <is>
          <t>P1</t>
        </is>
      </c>
      <c r="H8" s="11" t="n">
        <v>4</v>
      </c>
      <c r="I8" s="11" t="inlineStr">
        <is>
          <t>M3</t>
        </is>
      </c>
      <c r="J8" s="11" t="inlineStr">
        <is>
          <t>Pendiente</t>
        </is>
      </c>
      <c r="K8" s="17" t="n">
        <v>0</v>
      </c>
      <c r="L8" s="16" t="inlineStr">
        <is>
          <t>A2.2;A1.2</t>
        </is>
      </c>
    </row>
    <row r="9">
      <c r="A9" s="14" t="inlineStr">
        <is>
          <t>A2.4</t>
        </is>
      </c>
      <c r="B9" s="15" t="inlineStr">
        <is>
          <t>A · Interno</t>
        </is>
      </c>
      <c r="C9" s="16" t="inlineStr">
        <is>
          <t>A2 · Baseline de ROI interno</t>
        </is>
      </c>
      <c r="D9" s="16" t="inlineStr">
        <is>
          <t>Redactar la Memoria de baseline de ROI</t>
        </is>
      </c>
      <c r="E9" s="18" t="inlineStr">
        <is>
          <t>Memoria de baseline de ROI (ENTREGABLE DE FASE)</t>
        </is>
      </c>
      <c r="F9" s="11" t="inlineStr">
        <is>
          <t>Dirección (JM)</t>
        </is>
      </c>
      <c r="G9" s="11" t="inlineStr">
        <is>
          <t>P0</t>
        </is>
      </c>
      <c r="H9" s="11" t="n">
        <v>2</v>
      </c>
      <c r="I9" s="11" t="inlineStr">
        <is>
          <t>M4</t>
        </is>
      </c>
      <c r="J9" s="11" t="inlineStr">
        <is>
          <t>Pendiente</t>
        </is>
      </c>
      <c r="K9" s="17" t="n">
        <v>0</v>
      </c>
      <c r="L9" s="16" t="inlineStr">
        <is>
          <t>A2.3</t>
        </is>
      </c>
    </row>
    <row r="10">
      <c r="A10" s="14" t="inlineStr">
        <is>
          <t>B1.1</t>
        </is>
      </c>
      <c r="B10" s="19" t="inlineStr">
        <is>
          <t>B · Wedge</t>
        </is>
      </c>
      <c r="C10" s="16" t="inlineStr">
        <is>
          <t>B1 · PRD del wedge</t>
        </is>
      </c>
      <c r="D10" s="16" t="inlineStr">
        <is>
          <t>Delimitar el alcance funcional (Visor + ISO 19650 + CTE)</t>
        </is>
      </c>
      <c r="E10" s="16" t="inlineStr">
        <is>
          <t>Lista de funcionalidades del MVP</t>
        </is>
      </c>
      <c r="F10" s="11" t="inlineStr">
        <is>
          <t>Producto (PM)</t>
        </is>
      </c>
      <c r="G10" s="11" t="inlineStr">
        <is>
          <t>P0</t>
        </is>
      </c>
      <c r="H10" s="11" t="n">
        <v>2</v>
      </c>
      <c r="I10" s="11" t="inlineStr">
        <is>
          <t>M1</t>
        </is>
      </c>
      <c r="J10" s="11" t="inlineStr">
        <is>
          <t>Pendiente</t>
        </is>
      </c>
      <c r="K10" s="17" t="n">
        <v>0</v>
      </c>
      <c r="L10" s="16" t="inlineStr"/>
    </row>
    <row r="11">
      <c r="A11" s="14" t="inlineStr">
        <is>
          <t>B1.2</t>
        </is>
      </c>
      <c r="B11" s="19" t="inlineStr">
        <is>
          <t>B · Wedge</t>
        </is>
      </c>
      <c r="C11" s="16" t="inlineStr">
        <is>
          <t>B1 · PRD del wedge</t>
        </is>
      </c>
      <c r="D11" s="16" t="inlineStr">
        <is>
          <t>Definir la frontera con el cálculo (qué queda fuera)</t>
        </is>
      </c>
      <c r="E11" s="16" t="inlineStr">
        <is>
          <t>Documento de frontera funcional/legal</t>
        </is>
      </c>
      <c r="F11" s="11" t="inlineStr">
        <is>
          <t>Producto (PM)</t>
        </is>
      </c>
      <c r="G11" s="11" t="inlineStr">
        <is>
          <t>P0</t>
        </is>
      </c>
      <c r="H11" s="11" t="n">
        <v>1</v>
      </c>
      <c r="I11" s="11" t="inlineStr">
        <is>
          <t>M1</t>
        </is>
      </c>
      <c r="J11" s="11" t="inlineStr">
        <is>
          <t>Pendiente</t>
        </is>
      </c>
      <c r="K11" s="17" t="n">
        <v>0</v>
      </c>
      <c r="L11" s="16" t="inlineStr">
        <is>
          <t>B1.1</t>
        </is>
      </c>
    </row>
    <row r="12">
      <c r="A12" s="14" t="inlineStr">
        <is>
          <t>B1.3</t>
        </is>
      </c>
      <c r="B12" s="19" t="inlineStr">
        <is>
          <t>B · Wedge</t>
        </is>
      </c>
      <c r="C12" s="16" t="inlineStr">
        <is>
          <t>B1 · PRD del wedge</t>
        </is>
      </c>
      <c r="D12" s="16" t="inlineStr">
        <is>
          <t>Definir buyer persona y propuesta de valor</t>
        </is>
      </c>
      <c r="E12" s="16" t="inlineStr">
        <is>
          <t>Perfil de cliente y propuesta de valor</t>
        </is>
      </c>
      <c r="F12" s="11" t="inlineStr">
        <is>
          <t>Negocio / Comercial</t>
        </is>
      </c>
      <c r="G12" s="11" t="inlineStr">
        <is>
          <t>P1</t>
        </is>
      </c>
      <c r="H12" s="11" t="n">
        <v>1</v>
      </c>
      <c r="I12" s="11" t="inlineStr">
        <is>
          <t>M2</t>
        </is>
      </c>
      <c r="J12" s="11" t="inlineStr">
        <is>
          <t>Pendiente</t>
        </is>
      </c>
      <c r="K12" s="17" t="n">
        <v>0</v>
      </c>
      <c r="L12" s="16" t="inlineStr">
        <is>
          <t>B1.1</t>
        </is>
      </c>
    </row>
    <row r="13">
      <c r="A13" s="14" t="inlineStr">
        <is>
          <t>B1.4</t>
        </is>
      </c>
      <c r="B13" s="19" t="inlineStr">
        <is>
          <t>B · Wedge</t>
        </is>
      </c>
      <c r="C13" s="16" t="inlineStr">
        <is>
          <t>B1 · PRD del wedge</t>
        </is>
      </c>
      <c r="D13" s="16" t="inlineStr">
        <is>
          <t>Pricing preliminar y modelo de suscripción</t>
        </is>
      </c>
      <c r="E13" s="16" t="inlineStr">
        <is>
          <t>Hipótesis de pricing por empresa</t>
        </is>
      </c>
      <c r="F13" s="11" t="inlineStr">
        <is>
          <t>Negocio / Comercial</t>
        </is>
      </c>
      <c r="G13" s="11" t="inlineStr">
        <is>
          <t>P1</t>
        </is>
      </c>
      <c r="H13" s="11" t="n">
        <v>1</v>
      </c>
      <c r="I13" s="11" t="inlineStr">
        <is>
          <t>M2</t>
        </is>
      </c>
      <c r="J13" s="11" t="inlineStr">
        <is>
          <t>Pendiente</t>
        </is>
      </c>
      <c r="K13" s="17" t="n">
        <v>0</v>
      </c>
      <c r="L13" s="16" t="inlineStr">
        <is>
          <t>B1.3</t>
        </is>
      </c>
    </row>
    <row r="14">
      <c r="A14" s="14" t="inlineStr">
        <is>
          <t>B1.5</t>
        </is>
      </c>
      <c r="B14" s="19" t="inlineStr">
        <is>
          <t>B · Wedge</t>
        </is>
      </c>
      <c r="C14" s="16" t="inlineStr">
        <is>
          <t>B1 · PRD del wedge</t>
        </is>
      </c>
      <c r="D14" s="16" t="inlineStr">
        <is>
          <t>Redactar y aprobar el PRD</t>
        </is>
      </c>
      <c r="E14" s="18" t="inlineStr">
        <is>
          <t>PRD del wedge aprobado (ENTREGABLE DE FASE)</t>
        </is>
      </c>
      <c r="F14" s="11" t="inlineStr">
        <is>
          <t>Producto (PM)</t>
        </is>
      </c>
      <c r="G14" s="11" t="inlineStr">
        <is>
          <t>P0</t>
        </is>
      </c>
      <c r="H14" s="11" t="n">
        <v>2</v>
      </c>
      <c r="I14" s="11" t="inlineStr">
        <is>
          <t>M3</t>
        </is>
      </c>
      <c r="J14" s="11" t="inlineStr">
        <is>
          <t>Pendiente</t>
        </is>
      </c>
      <c r="K14" s="17" t="n">
        <v>0</v>
      </c>
      <c r="L14" s="16" t="inlineStr">
        <is>
          <t>B1.2;B1.3;B1.4</t>
        </is>
      </c>
    </row>
    <row r="15">
      <c r="A15" s="14" t="inlineStr">
        <is>
          <t>B2.1</t>
        </is>
      </c>
      <c r="B15" s="19" t="inlineStr">
        <is>
          <t>B · Wedge</t>
        </is>
      </c>
      <c r="C15" s="16" t="inlineStr">
        <is>
          <t>B2 · Inventario y empaquetado de componentes</t>
        </is>
      </c>
      <c r="D15" s="16" t="inlineStr">
        <is>
          <t>Inventariar componentes existentes y su madurez</t>
        </is>
      </c>
      <c r="E15" s="16" t="inlineStr">
        <is>
          <t>Matriz componente -&gt; estado de madurez</t>
        </is>
      </c>
      <c r="F15" s="11" t="inlineStr">
        <is>
          <t>Ing. BIM / IFC</t>
        </is>
      </c>
      <c r="G15" s="11" t="inlineStr">
        <is>
          <t>P0</t>
        </is>
      </c>
      <c r="H15" s="11" t="n">
        <v>2</v>
      </c>
      <c r="I15" s="11" t="inlineStr">
        <is>
          <t>M2</t>
        </is>
      </c>
      <c r="J15" s="11" t="inlineStr">
        <is>
          <t>Pendiente</t>
        </is>
      </c>
      <c r="K15" s="17" t="n">
        <v>0</v>
      </c>
      <c r="L15" s="16" t="inlineStr">
        <is>
          <t>B1.1</t>
        </is>
      </c>
    </row>
    <row r="16">
      <c r="A16" s="14" t="inlineStr">
        <is>
          <t>B2.2</t>
        </is>
      </c>
      <c r="B16" s="19" t="inlineStr">
        <is>
          <t>B · Wedge</t>
        </is>
      </c>
      <c r="C16" s="16" t="inlineStr">
        <is>
          <t>B2 · Inventario y empaquetado de componentes</t>
        </is>
      </c>
      <c r="D16" s="16" t="inlineStr">
        <is>
          <t>Identificar gaps funcionales del MVP</t>
        </is>
      </c>
      <c r="E16" s="16" t="inlineStr">
        <is>
          <t>Lista priorizada de gaps a cubrir</t>
        </is>
      </c>
      <c r="F16" s="11" t="inlineStr">
        <is>
          <t>Ing. BIM / IFC</t>
        </is>
      </c>
      <c r="G16" s="11" t="inlineStr">
        <is>
          <t>P1</t>
        </is>
      </c>
      <c r="H16" s="11" t="n">
        <v>2</v>
      </c>
      <c r="I16" s="11" t="inlineStr">
        <is>
          <t>M3</t>
        </is>
      </c>
      <c r="J16" s="11" t="inlineStr">
        <is>
          <t>Pendiente</t>
        </is>
      </c>
      <c r="K16" s="17" t="n">
        <v>0</v>
      </c>
      <c r="L16" s="16" t="inlineStr">
        <is>
          <t>B2.1</t>
        </is>
      </c>
    </row>
    <row r="17">
      <c r="A17" s="14" t="inlineStr">
        <is>
          <t>B2.3</t>
        </is>
      </c>
      <c r="B17" s="19" t="inlineStr">
        <is>
          <t>B · Wedge</t>
        </is>
      </c>
      <c r="C17" s="16" t="inlineStr">
        <is>
          <t>B2 · Inventario y empaquetado de componentes</t>
        </is>
      </c>
      <c r="D17" s="16" t="inlineStr">
        <is>
          <t>Plan de empaquetado como aplicación web</t>
        </is>
      </c>
      <c r="E17" s="16" t="inlineStr">
        <is>
          <t>Plan técnico de empaquetado del wedge</t>
        </is>
      </c>
      <c r="F17" s="11" t="inlineStr">
        <is>
          <t>Ing. BIM / IFC</t>
        </is>
      </c>
      <c r="G17" s="11" t="inlineStr">
        <is>
          <t>P1</t>
        </is>
      </c>
      <c r="H17" s="11" t="n">
        <v>2</v>
      </c>
      <c r="I17" s="11" t="inlineStr">
        <is>
          <t>M4</t>
        </is>
      </c>
      <c r="J17" s="11" t="inlineStr">
        <is>
          <t>Pendiente</t>
        </is>
      </c>
      <c r="K17" s="17" t="n">
        <v>0</v>
      </c>
      <c r="L17" s="16" t="inlineStr">
        <is>
          <t>B2.2</t>
        </is>
      </c>
    </row>
    <row r="18">
      <c r="A18" s="14" t="inlineStr">
        <is>
          <t>B3.1</t>
        </is>
      </c>
      <c r="B18" s="19" t="inlineStr">
        <is>
          <t>B · Wedge</t>
        </is>
      </c>
      <c r="C18" s="16" t="inlineStr">
        <is>
          <t>B3 · Pipeline de pilotos</t>
        </is>
      </c>
      <c r="D18" s="16" t="inlineStr">
        <is>
          <t>Identificar 3-5 despachos candidatos</t>
        </is>
      </c>
      <c r="E18" s="16" t="inlineStr">
        <is>
          <t>Lista cualificada de candidatos</t>
        </is>
      </c>
      <c r="F18" s="11" t="inlineStr">
        <is>
          <t>Negocio / Comercial</t>
        </is>
      </c>
      <c r="G18" s="11" t="inlineStr">
        <is>
          <t>P0</t>
        </is>
      </c>
      <c r="H18" s="11" t="n">
        <v>2</v>
      </c>
      <c r="I18" s="11" t="inlineStr">
        <is>
          <t>M2</t>
        </is>
      </c>
      <c r="J18" s="11" t="inlineStr">
        <is>
          <t>Pendiente</t>
        </is>
      </c>
      <c r="K18" s="17" t="n">
        <v>0</v>
      </c>
      <c r="L18" s="16" t="inlineStr"/>
    </row>
    <row r="19">
      <c r="A19" s="14" t="inlineStr">
        <is>
          <t>B3.2</t>
        </is>
      </c>
      <c r="B19" s="19" t="inlineStr">
        <is>
          <t>B · Wedge</t>
        </is>
      </c>
      <c r="C19" s="16" t="inlineStr">
        <is>
          <t>B3 · Pipeline de pilotos</t>
        </is>
      </c>
      <c r="D19" s="16" t="inlineStr">
        <is>
          <t>Preparar material de pitch / demo</t>
        </is>
      </c>
      <c r="E19" s="16" t="inlineStr">
        <is>
          <t>Pitch deck + demo del wedge</t>
        </is>
      </c>
      <c r="F19" s="11" t="inlineStr">
        <is>
          <t>Negocio / Comercial</t>
        </is>
      </c>
      <c r="G19" s="11" t="inlineStr">
        <is>
          <t>P1</t>
        </is>
      </c>
      <c r="H19" s="11" t="n">
        <v>2</v>
      </c>
      <c r="I19" s="11" t="inlineStr">
        <is>
          <t>M3</t>
        </is>
      </c>
      <c r="J19" s="11" t="inlineStr">
        <is>
          <t>Pendiente</t>
        </is>
      </c>
      <c r="K19" s="17" t="n">
        <v>0</v>
      </c>
      <c r="L19" s="16" t="inlineStr">
        <is>
          <t>B1.5;B3.1</t>
        </is>
      </c>
    </row>
    <row r="20">
      <c r="A20" s="14" t="inlineStr">
        <is>
          <t>B3.3</t>
        </is>
      </c>
      <c r="B20" s="19" t="inlineStr">
        <is>
          <t>B · Wedge</t>
        </is>
      </c>
      <c r="C20" s="16" t="inlineStr">
        <is>
          <t>B3 · Pipeline de pilotos</t>
        </is>
      </c>
      <c r="D20" s="16" t="inlineStr">
        <is>
          <t>Contactar y cualificar candidatos</t>
        </is>
      </c>
      <c r="E20" s="16" t="inlineStr">
        <is>
          <t>Reuniones realizadas y feedback registrado</t>
        </is>
      </c>
      <c r="F20" s="11" t="inlineStr">
        <is>
          <t>Negocio / Comercial</t>
        </is>
      </c>
      <c r="G20" s="11" t="inlineStr">
        <is>
          <t>P1</t>
        </is>
      </c>
      <c r="H20" s="11" t="n">
        <v>4</v>
      </c>
      <c r="I20" s="11" t="inlineStr">
        <is>
          <t>M4</t>
        </is>
      </c>
      <c r="J20" s="11" t="inlineStr">
        <is>
          <t>Pendiente</t>
        </is>
      </c>
      <c r="K20" s="17" t="n">
        <v>0</v>
      </c>
      <c r="L20" s="16" t="inlineStr">
        <is>
          <t>B3.2</t>
        </is>
      </c>
    </row>
    <row r="21">
      <c r="A21" s="14" t="inlineStr">
        <is>
          <t>B3.4</t>
        </is>
      </c>
      <c r="B21" s="19" t="inlineStr">
        <is>
          <t>B · Wedge</t>
        </is>
      </c>
      <c r="C21" s="16" t="inlineStr">
        <is>
          <t>B3 · Pipeline de pilotos</t>
        </is>
      </c>
      <c r="D21" s="16" t="inlineStr">
        <is>
          <t>Firmar cartas de intención (LOI)</t>
        </is>
      </c>
      <c r="E21" s="18" t="inlineStr">
        <is>
          <t>≥3 LOIs firmadas (ENTREGABLE DE FASE)</t>
        </is>
      </c>
      <c r="F21" s="11" t="inlineStr">
        <is>
          <t>Dirección (JM)</t>
        </is>
      </c>
      <c r="G21" s="11" t="inlineStr">
        <is>
          <t>P0</t>
        </is>
      </c>
      <c r="H21" s="11" t="n">
        <v>3</v>
      </c>
      <c r="I21" s="11" t="inlineStr">
        <is>
          <t>M5</t>
        </is>
      </c>
      <c r="J21" s="11" t="inlineStr">
        <is>
          <t>Pendiente</t>
        </is>
      </c>
      <c r="K21" s="17" t="n">
        <v>0</v>
      </c>
      <c r="L21" s="16" t="inlineStr">
        <is>
          <t>B3.3</t>
        </is>
      </c>
    </row>
    <row r="22">
      <c r="A22" s="14" t="inlineStr">
        <is>
          <t>N1.1</t>
        </is>
      </c>
      <c r="B22" s="20" t="inlineStr">
        <is>
          <t>N · Núcleo/Industrialización</t>
        </is>
      </c>
      <c r="C22" s="16" t="inlineStr">
        <is>
          <t>N1 · Reproducibilidad (madurez N1)</t>
        </is>
      </c>
      <c r="D22" s="16" t="inlineStr">
        <is>
          <t>Consolidar monorepo y control de versiones</t>
        </is>
      </c>
      <c r="E22" s="16" t="inlineStr">
        <is>
          <t>Repositorio único versionado y estructurado</t>
        </is>
      </c>
      <c r="F22" s="11" t="inlineStr">
        <is>
          <t>Ing. Núcleo / FEM</t>
        </is>
      </c>
      <c r="G22" s="11" t="inlineStr">
        <is>
          <t>P0</t>
        </is>
      </c>
      <c r="H22" s="11" t="n">
        <v>2</v>
      </c>
      <c r="I22" s="11" t="inlineStr">
        <is>
          <t>M1</t>
        </is>
      </c>
      <c r="J22" s="11" t="inlineStr">
        <is>
          <t>Pendiente</t>
        </is>
      </c>
      <c r="K22" s="17" t="n">
        <v>0</v>
      </c>
      <c r="L22" s="16" t="inlineStr"/>
    </row>
    <row r="23">
      <c r="A23" s="14" t="inlineStr">
        <is>
          <t>N1.2</t>
        </is>
      </c>
      <c r="B23" s="20" t="inlineStr">
        <is>
          <t>N · Núcleo/Industrialización</t>
        </is>
      </c>
      <c r="C23" s="16" t="inlineStr">
        <is>
          <t>N1 · Reproducibilidad (madurez N1)</t>
        </is>
      </c>
      <c r="D23" s="16" t="inlineStr">
        <is>
          <t>Fijar dependencias y build determinista</t>
        </is>
      </c>
      <c r="E23" s="16" t="inlineStr">
        <is>
          <t>Lockfiles + build reproducible documentado</t>
        </is>
      </c>
      <c r="F23" s="11" t="inlineStr">
        <is>
          <t>Ing. Núcleo / FEM</t>
        </is>
      </c>
      <c r="G23" s="11" t="inlineStr">
        <is>
          <t>P0</t>
        </is>
      </c>
      <c r="H23" s="11" t="n">
        <v>2</v>
      </c>
      <c r="I23" s="11" t="inlineStr">
        <is>
          <t>M2</t>
        </is>
      </c>
      <c r="J23" s="11" t="inlineStr">
        <is>
          <t>Pendiente</t>
        </is>
      </c>
      <c r="K23" s="17" t="n">
        <v>0</v>
      </c>
      <c r="L23" s="16" t="inlineStr">
        <is>
          <t>N1.1</t>
        </is>
      </c>
    </row>
    <row r="24">
      <c r="A24" s="14" t="inlineStr">
        <is>
          <t>N1.3</t>
        </is>
      </c>
      <c r="B24" s="20" t="inlineStr">
        <is>
          <t>N · Núcleo/Industrialización</t>
        </is>
      </c>
      <c r="C24" s="16" t="inlineStr">
        <is>
          <t>N1 · Reproducibilidad (madurez N1)</t>
        </is>
      </c>
      <c r="D24" s="16" t="inlineStr">
        <is>
          <t>Empaquetado firmado de núcleo y plugins</t>
        </is>
      </c>
      <c r="E24" s="16" t="inlineStr">
        <is>
          <t>Artefactos versionados y firmados</t>
        </is>
      </c>
      <c r="F24" s="11" t="inlineStr">
        <is>
          <t>Ing. Núcleo / FEM</t>
        </is>
      </c>
      <c r="G24" s="11" t="inlineStr">
        <is>
          <t>P1</t>
        </is>
      </c>
      <c r="H24" s="11" t="n">
        <v>2</v>
      </c>
      <c r="I24" s="11" t="inlineStr">
        <is>
          <t>M2</t>
        </is>
      </c>
      <c r="J24" s="11" t="inlineStr">
        <is>
          <t>Pendiente</t>
        </is>
      </c>
      <c r="K24" s="17" t="n">
        <v>0</v>
      </c>
      <c r="L24" s="16" t="inlineStr">
        <is>
          <t>N1.2</t>
        </is>
      </c>
    </row>
    <row r="25">
      <c r="A25" s="14" t="inlineStr">
        <is>
          <t>N1.4</t>
        </is>
      </c>
      <c r="B25" s="20" t="inlineStr">
        <is>
          <t>N · Núcleo/Industrialización</t>
        </is>
      </c>
      <c r="C25" s="16" t="inlineStr">
        <is>
          <t>N1 · Reproducibilidad (madurez N1)</t>
        </is>
      </c>
      <c r="D25" s="16" t="inlineStr">
        <is>
          <t>Documentar la toolchain</t>
        </is>
      </c>
      <c r="E25" s="16" t="inlineStr">
        <is>
          <t>Guía de toolchain y entorno reproducible</t>
        </is>
      </c>
      <c r="F25" s="11" t="inlineStr">
        <is>
          <t>Ing. Núcleo / FEM</t>
        </is>
      </c>
      <c r="G25" s="11" t="inlineStr">
        <is>
          <t>P2</t>
        </is>
      </c>
      <c r="H25" s="11" t="n">
        <v>1</v>
      </c>
      <c r="I25" s="11" t="inlineStr">
        <is>
          <t>M3</t>
        </is>
      </c>
      <c r="J25" s="11" t="inlineStr">
        <is>
          <t>Pendiente</t>
        </is>
      </c>
      <c r="K25" s="17" t="n">
        <v>0</v>
      </c>
      <c r="L25" s="16" t="inlineStr">
        <is>
          <t>N1.2</t>
        </is>
      </c>
    </row>
    <row r="26">
      <c r="A26" s="14" t="inlineStr">
        <is>
          <t>N2.1</t>
        </is>
      </c>
      <c r="B26" s="20" t="inlineStr">
        <is>
          <t>N · Núcleo/Industrialización</t>
        </is>
      </c>
      <c r="C26" s="16" t="inlineStr">
        <is>
          <t>N2 · Casos golden y verificación (madurez N2)</t>
        </is>
      </c>
      <c r="D26" s="16" t="inlineStr">
        <is>
          <t>Formalizar casos existentes (PUE/LIN/INC) como suite</t>
        </is>
      </c>
      <c r="E26" s="16" t="inlineStr">
        <is>
          <t>Suite de casos golden ejecutable</t>
        </is>
      </c>
      <c r="F26" s="11" t="inlineStr">
        <is>
          <t>QA / Verificación</t>
        </is>
      </c>
      <c r="G26" s="11" t="inlineStr">
        <is>
          <t>P0</t>
        </is>
      </c>
      <c r="H26" s="11" t="n">
        <v>4</v>
      </c>
      <c r="I26" s="11" t="inlineStr">
        <is>
          <t>M3</t>
        </is>
      </c>
      <c r="J26" s="11" t="inlineStr">
        <is>
          <t>Pendiente</t>
        </is>
      </c>
      <c r="K26" s="17" t="n">
        <v>0</v>
      </c>
      <c r="L26" s="16" t="inlineStr">
        <is>
          <t>N1.1</t>
        </is>
      </c>
    </row>
    <row r="27">
      <c r="A27" s="14" t="inlineStr">
        <is>
          <t>N2.2</t>
        </is>
      </c>
      <c r="B27" s="20" t="inlineStr">
        <is>
          <t>N · Núcleo/Industrialización</t>
        </is>
      </c>
      <c r="C27" s="16" t="inlineStr">
        <is>
          <t>N2 · Casos golden y verificación (madurez N2)</t>
        </is>
      </c>
      <c r="D27" s="16" t="inlineStr">
        <is>
          <t>Definir el oráculo numérico de referencia</t>
        </is>
      </c>
      <c r="E27" s="16" t="inlineStr">
        <is>
          <t>Oráculo documentado (referencia de validación)</t>
        </is>
      </c>
      <c r="F27" s="11" t="inlineStr">
        <is>
          <t>Ing. Núcleo / FEM</t>
        </is>
      </c>
      <c r="G27" s="11" t="inlineStr">
        <is>
          <t>P0</t>
        </is>
      </c>
      <c r="H27" s="11" t="n">
        <v>2</v>
      </c>
      <c r="I27" s="11" t="inlineStr">
        <is>
          <t>M2</t>
        </is>
      </c>
      <c r="J27" s="11" t="inlineStr">
        <is>
          <t>Pendiente</t>
        </is>
      </c>
      <c r="K27" s="17" t="n">
        <v>0</v>
      </c>
      <c r="L27" s="16" t="inlineStr"/>
    </row>
    <row r="28">
      <c r="A28" s="14" t="inlineStr">
        <is>
          <t>N2.3</t>
        </is>
      </c>
      <c r="B28" s="20" t="inlineStr">
        <is>
          <t>N · Núcleo/Industrialización</t>
        </is>
      </c>
      <c r="C28" s="16" t="inlineStr">
        <is>
          <t>N2 · Casos golden y verificación (madurez N2)</t>
        </is>
      </c>
      <c r="D28" s="16" t="inlineStr">
        <is>
          <t>Automatizar las puertas espejo/APTO</t>
        </is>
      </c>
      <c r="E28" s="16" t="inlineStr">
        <is>
          <t>Comprobación espejo automática reutilizable</t>
        </is>
      </c>
      <c r="F28" s="11" t="inlineStr">
        <is>
          <t>QA / Verificación</t>
        </is>
      </c>
      <c r="G28" s="11" t="inlineStr">
        <is>
          <t>P0</t>
        </is>
      </c>
      <c r="H28" s="11" t="n">
        <v>3</v>
      </c>
      <c r="I28" s="11" t="inlineStr">
        <is>
          <t>M4</t>
        </is>
      </c>
      <c r="J28" s="11" t="inlineStr">
        <is>
          <t>Pendiente</t>
        </is>
      </c>
      <c r="K28" s="17" t="n">
        <v>0</v>
      </c>
      <c r="L28" s="16" t="inlineStr">
        <is>
          <t>N2.1;N2.2</t>
        </is>
      </c>
    </row>
    <row r="29">
      <c r="A29" s="14" t="inlineStr">
        <is>
          <t>N2.4</t>
        </is>
      </c>
      <c r="B29" s="20" t="inlineStr">
        <is>
          <t>N · Núcleo/Industrialización</t>
        </is>
      </c>
      <c r="C29" s="16" t="inlineStr">
        <is>
          <t>N2 · Casos golden y verificación (madurez N2)</t>
        </is>
      </c>
      <c r="D29" s="16" t="inlineStr">
        <is>
          <t>Informe de validación numérica (baseline)</t>
        </is>
      </c>
      <c r="E29" s="18" t="inlineStr">
        <is>
          <t>Informe de validación (ENTREGABLE DE FASE)</t>
        </is>
      </c>
      <c r="F29" s="11" t="inlineStr">
        <is>
          <t>QA / Verificación</t>
        </is>
      </c>
      <c r="G29" s="11" t="inlineStr">
        <is>
          <t>P0</t>
        </is>
      </c>
      <c r="H29" s="11" t="n">
        <v>2</v>
      </c>
      <c r="I29" s="11" t="inlineStr">
        <is>
          <t>M5</t>
        </is>
      </c>
      <c r="J29" s="11" t="inlineStr">
        <is>
          <t>Pendiente</t>
        </is>
      </c>
      <c r="K29" s="17" t="n">
        <v>0</v>
      </c>
      <c r="L29" s="16" t="inlineStr">
        <is>
          <t>N2.3</t>
        </is>
      </c>
    </row>
    <row r="30">
      <c r="A30" s="14" t="inlineStr">
        <is>
          <t>N3.1</t>
        </is>
      </c>
      <c r="B30" s="20" t="inlineStr">
        <is>
          <t>N · Núcleo/Industrialización</t>
        </is>
      </c>
      <c r="C30" s="16" t="inlineStr">
        <is>
          <t>N3 · Gobierno y métricas de arranque</t>
        </is>
      </c>
      <c r="D30" s="16" t="inlineStr">
        <is>
          <t>Definir KPIs de la fase y umbrales del gate</t>
        </is>
      </c>
      <c r="E30" s="16" t="inlineStr">
        <is>
          <t>Cuadro de KPIs y criterios de salida</t>
        </is>
      </c>
      <c r="F30" s="11" t="inlineStr">
        <is>
          <t>Dirección (JM)</t>
        </is>
      </c>
      <c r="G30" s="11" t="inlineStr">
        <is>
          <t>P1</t>
        </is>
      </c>
      <c r="H30" s="11" t="n">
        <v>1</v>
      </c>
      <c r="I30" s="11" t="inlineStr">
        <is>
          <t>M1</t>
        </is>
      </c>
      <c r="J30" s="11" t="inlineStr">
        <is>
          <t>Pendiente</t>
        </is>
      </c>
      <c r="K30" s="17" t="n">
        <v>0</v>
      </c>
      <c r="L30" s="16" t="inlineStr"/>
    </row>
    <row r="31">
      <c r="A31" s="14" t="inlineStr">
        <is>
          <t>N3.2</t>
        </is>
      </c>
      <c r="B31" s="20" t="inlineStr">
        <is>
          <t>N · Núcleo/Industrialización</t>
        </is>
      </c>
      <c r="C31" s="16" t="inlineStr">
        <is>
          <t>N3 · Gobierno y métricas de arranque</t>
        </is>
      </c>
      <c r="D31" s="16" t="inlineStr">
        <is>
          <t>Tablero de seguimiento del backlog</t>
        </is>
      </c>
      <c r="E31" s="16" t="inlineStr">
        <is>
          <t>Tablero operativo en uso</t>
        </is>
      </c>
      <c r="F31" s="11" t="inlineStr">
        <is>
          <t>Producto (PM)</t>
        </is>
      </c>
      <c r="G31" s="11" t="inlineStr">
        <is>
          <t>P1</t>
        </is>
      </c>
      <c r="H31" s="11" t="n">
        <v>1</v>
      </c>
      <c r="I31" s="11" t="inlineStr">
        <is>
          <t>M1</t>
        </is>
      </c>
      <c r="J31" s="11" t="inlineStr">
        <is>
          <t>Pendiente</t>
        </is>
      </c>
      <c r="K31" s="17" t="n">
        <v>0</v>
      </c>
      <c r="L31" s="16" t="inlineStr">
        <is>
          <t>N3.1</t>
        </is>
      </c>
    </row>
    <row r="32">
      <c r="A32" s="14" t="inlineStr">
        <is>
          <t>N3.3</t>
        </is>
      </c>
      <c r="B32" s="20" t="inlineStr">
        <is>
          <t>N · Núcleo/Industrialización</t>
        </is>
      </c>
      <c r="C32" s="16" t="inlineStr">
        <is>
          <t>N3 · Gobierno y métricas de arranque</t>
        </is>
      </c>
      <c r="D32" s="16" t="inlineStr">
        <is>
          <t>Instrumentación básica de coste de inferencia</t>
        </is>
      </c>
      <c r="E32" s="16" t="inlineStr">
        <is>
          <t>Medición de coste por proyecto/caso</t>
        </is>
      </c>
      <c r="F32" s="11" t="inlineStr">
        <is>
          <t>Ing. Núcleo / FEM</t>
        </is>
      </c>
      <c r="G32" s="11" t="inlineStr">
        <is>
          <t>P2</t>
        </is>
      </c>
      <c r="H32" s="11" t="n">
        <v>2</v>
      </c>
      <c r="I32" s="11" t="inlineStr">
        <is>
          <t>M4</t>
        </is>
      </c>
      <c r="J32" s="11" t="inlineStr">
        <is>
          <t>Pendiente</t>
        </is>
      </c>
      <c r="K32" s="17" t="n">
        <v>0</v>
      </c>
      <c r="L32" s="16" t="inlineStr">
        <is>
          <t>N1.1</t>
        </is>
      </c>
    </row>
  </sheetData>
  <autoFilter ref="A1:L32"/>
  <conditionalFormatting sqref="J2:J32">
    <cfRule type="cellIs" priority="1" operator="equal" dxfId="0">
      <formula>"Hecho"</formula>
    </cfRule>
    <cfRule type="cellIs" priority="2" operator="equal" dxfId="1">
      <formula>"Bloqueado"</formula>
    </cfRule>
    <cfRule type="cellIs" priority="3" operator="equal" dxfId="2">
      <formula>"En curso"</formula>
    </cfRule>
    <cfRule type="cellIs" priority="4" operator="equal" dxfId="3">
      <formula>"Pendiente"</formula>
    </cfRule>
  </conditionalFormatting>
  <dataValidations count="5">
    <dataValidation sqref="B2:B32" showDropDown="0" showInputMessage="0" showErrorMessage="0" allowBlank="1" type="list">
      <formula1>"A · Interno,B · Wedge,N · Núcleo/Industrialización"</formula1>
    </dataValidation>
    <dataValidation sqref="F2:F32" showDropDown="0" showInputMessage="0" showErrorMessage="0" allowBlank="1" type="list">
      <formula1>"Dirección (JM),Ing. Núcleo / FEM,Ing. BIM / IFC,Producto (PM),Negocio / Comercial,QA / Verificación"</formula1>
    </dataValidation>
    <dataValidation sqref="G2:G32" showDropDown="0" showInputMessage="0" showErrorMessage="0" allowBlank="1" type="list">
      <formula1>"P0,P1,P2"</formula1>
    </dataValidation>
    <dataValidation sqref="I2:I32" showDropDown="0" showInputMessage="0" showErrorMessage="0" allowBlank="1" type="list">
      <formula1>"M1,M2,M3,M4,M5,M6"</formula1>
    </dataValidation>
    <dataValidation sqref="J2:J32" showDropDown="0" showInputMessage="0" showErrorMessage="0" allowBlank="1" type="list">
      <formula1>"Pendiente,En curso,Bloqueado,Hecho"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40" customWidth="1" min="3" max="3"/>
    <col width="34" customWidth="1" min="4" max="4"/>
    <col width="9" customWidth="1" min="5" max="5"/>
    <col width="9" customWidth="1" min="6" max="6"/>
    <col width="9" customWidth="1" min="7" max="7"/>
  </cols>
  <sheetData>
    <row r="1" ht="30" customHeight="1">
      <c r="A1" s="9" t="inlineStr">
        <is>
          <t>Épica</t>
        </is>
      </c>
      <c r="B1" s="9" t="inlineStr">
        <is>
          <t>Track</t>
        </is>
      </c>
      <c r="C1" s="9" t="inlineStr">
        <is>
          <t>Objetivo</t>
        </is>
      </c>
      <c r="D1" s="9" t="inlineStr">
        <is>
          <t>Entregable principal</t>
        </is>
      </c>
      <c r="E1" s="9" t="inlineStr">
        <is>
          <t>Nº tareas</t>
        </is>
      </c>
      <c r="F1" s="9" t="inlineStr">
        <is>
          <t>Hechas</t>
        </is>
      </c>
      <c r="G1" s="9" t="inlineStr">
        <is>
          <t>% avance</t>
        </is>
      </c>
    </row>
    <row r="2">
      <c r="A2" s="21" t="inlineStr">
        <is>
          <t>A1 · Operación en proyectos piloto internos</t>
        </is>
      </c>
      <c r="B2" s="22" t="inlineStr">
        <is>
          <t>A · Interno</t>
        </is>
      </c>
      <c r="C2" s="12" t="inlineStr">
        <is>
          <t>Usar el ecosistema en proyectos reales y capturar criterios.</t>
        </is>
      </c>
      <c r="D2" s="12" t="inlineStr">
        <is>
          <t>Proyectos ejecutados + criterios documentados</t>
        </is>
      </c>
      <c r="E2" s="11">
        <f>COUNTIF(Backlog!$C$2:$C$32,"A1 · Operación en proyectos piloto internos")</f>
        <v/>
      </c>
      <c r="F2" s="11">
        <f>COUNTIFS(Backlog!$C$2:$C$32,"A1 · Operación en proyectos piloto internos",Backlog!$J$2:$J$32,"Hecho")</f>
        <v/>
      </c>
      <c r="G2" s="17">
        <f>IF(E2=0,0,F2/E2)</f>
        <v/>
      </c>
    </row>
    <row r="3">
      <c r="A3" s="21" t="inlineStr">
        <is>
          <t>A2 · Baseline de ROI interno</t>
        </is>
      </c>
      <c r="B3" s="22" t="inlineStr">
        <is>
          <t>A · Interno</t>
        </is>
      </c>
      <c r="C3" s="12" t="inlineStr">
        <is>
          <t>Medir horas y retrabajo para fijar el baseline.</t>
        </is>
      </c>
      <c r="D3" s="12" t="inlineStr">
        <is>
          <t>Memoria de baseline de ROI</t>
        </is>
      </c>
      <c r="E3" s="11">
        <f>COUNTIF(Backlog!$C$2:$C$32,"A2 · Baseline de ROI interno")</f>
        <v/>
      </c>
      <c r="F3" s="11">
        <f>COUNTIFS(Backlog!$C$2:$C$32,"A2 · Baseline de ROI interno",Backlog!$J$2:$J$32,"Hecho")</f>
        <v/>
      </c>
      <c r="G3" s="17">
        <f>IF(E3=0,0,F3/E3)</f>
        <v/>
      </c>
    </row>
    <row r="4">
      <c r="A4" s="21" t="inlineStr">
        <is>
          <t>B1 · PRD del wedge</t>
        </is>
      </c>
      <c r="B4" s="23" t="inlineStr">
        <is>
          <t>B · Wedge</t>
        </is>
      </c>
      <c r="C4" s="12" t="inlineStr">
        <is>
          <t>Definir el producto de la capa BIM/cumplimiento.</t>
        </is>
      </c>
      <c r="D4" s="12" t="inlineStr">
        <is>
          <t>PRD del wedge aprobado</t>
        </is>
      </c>
      <c r="E4" s="11">
        <f>COUNTIF(Backlog!$C$2:$C$32,"B1 · PRD del wedge")</f>
        <v/>
      </c>
      <c r="F4" s="11">
        <f>COUNTIFS(Backlog!$C$2:$C$32,"B1 · PRD del wedge",Backlog!$J$2:$J$32,"Hecho")</f>
        <v/>
      </c>
      <c r="G4" s="17">
        <f>IF(E4=0,0,F4/E4)</f>
        <v/>
      </c>
    </row>
    <row r="5">
      <c r="A5" s="21" t="inlineStr">
        <is>
          <t>B2 · Inventario y empaquetado de componentes</t>
        </is>
      </c>
      <c r="B5" s="23" t="inlineStr">
        <is>
          <t>B · Wedge</t>
        </is>
      </c>
      <c r="C5" s="12" t="inlineStr">
        <is>
          <t>Conocer madurez y gaps del MVP.</t>
        </is>
      </c>
      <c r="D5" s="12" t="inlineStr">
        <is>
          <t>Plan de empaquetado del wedge</t>
        </is>
      </c>
      <c r="E5" s="11">
        <f>COUNTIF(Backlog!$C$2:$C$32,"B2 · Inventario y empaquetado de componentes")</f>
        <v/>
      </c>
      <c r="F5" s="11">
        <f>COUNTIFS(Backlog!$C$2:$C$32,"B2 · Inventario y empaquetado de componentes",Backlog!$J$2:$J$32,"Hecho")</f>
        <v/>
      </c>
      <c r="G5" s="17">
        <f>IF(E5=0,0,F5/E5)</f>
        <v/>
      </c>
    </row>
    <row r="6">
      <c r="A6" s="21" t="inlineStr">
        <is>
          <t>B3 · Pipeline de pilotos</t>
        </is>
      </c>
      <c r="B6" s="23" t="inlineStr">
        <is>
          <t>B · Wedge</t>
        </is>
      </c>
      <c r="C6" s="12" t="inlineStr">
        <is>
          <t>Conseguir despachos piloto comprometidos.</t>
        </is>
      </c>
      <c r="D6" s="12" t="inlineStr">
        <is>
          <t>≥3 LOIs firmadas</t>
        </is>
      </c>
      <c r="E6" s="11">
        <f>COUNTIF(Backlog!$C$2:$C$32,"B3 · Pipeline de pilotos")</f>
        <v/>
      </c>
      <c r="F6" s="11">
        <f>COUNTIFS(Backlog!$C$2:$C$32,"B3 · Pipeline de pilotos",Backlog!$J$2:$J$32,"Hecho")</f>
        <v/>
      </c>
      <c r="G6" s="17">
        <f>IF(E6=0,0,F6/E6)</f>
        <v/>
      </c>
    </row>
    <row r="7">
      <c r="A7" s="21" t="inlineStr">
        <is>
          <t>N1 · Reproducibilidad (madurez N1)</t>
        </is>
      </c>
      <c r="B7" s="24" t="inlineStr">
        <is>
          <t>N · Núcleo/Industrialización</t>
        </is>
      </c>
      <c r="C7" s="12" t="inlineStr">
        <is>
          <t>Llevar el núcleo a build reproducible y versionado.</t>
        </is>
      </c>
      <c r="D7" s="12" t="inlineStr">
        <is>
          <t>Núcleo reproducible y empaquetado</t>
        </is>
      </c>
      <c r="E7" s="11">
        <f>COUNTIF(Backlog!$C$2:$C$32,"N1 · Reproducibilidad (madurez N1)")</f>
        <v/>
      </c>
      <c r="F7" s="11">
        <f>COUNTIFS(Backlog!$C$2:$C$32,"N1 · Reproducibilidad (madurez N1)",Backlog!$J$2:$J$32,"Hecho")</f>
        <v/>
      </c>
      <c r="G7" s="17">
        <f>IF(E7=0,0,F7/E7)</f>
        <v/>
      </c>
    </row>
    <row r="8">
      <c r="A8" s="21" t="inlineStr">
        <is>
          <t>N2 · Casos golden y verificación (madurez N2)</t>
        </is>
      </c>
      <c r="B8" s="24" t="inlineStr">
        <is>
          <t>N · Núcleo/Industrialización</t>
        </is>
      </c>
      <c r="C8" s="12" t="inlineStr">
        <is>
          <t>Crear la red de seguridad de calidad del núcleo.</t>
        </is>
      </c>
      <c r="D8" s="12" t="inlineStr">
        <is>
          <t>Suite golden + informe de validación</t>
        </is>
      </c>
      <c r="E8" s="11">
        <f>COUNTIF(Backlog!$C$2:$C$32,"N2 · Casos golden y verificación (madurez N2)")</f>
        <v/>
      </c>
      <c r="F8" s="11">
        <f>COUNTIFS(Backlog!$C$2:$C$32,"N2 · Casos golden y verificación (madurez N2)",Backlog!$J$2:$J$32,"Hecho")</f>
        <v/>
      </c>
      <c r="G8" s="17">
        <f>IF(E8=0,0,F8/E8)</f>
        <v/>
      </c>
    </row>
    <row r="9">
      <c r="A9" s="21" t="inlineStr">
        <is>
          <t>N3 · Gobierno y métricas de arranque</t>
        </is>
      </c>
      <c r="B9" s="24" t="inlineStr">
        <is>
          <t>N · Núcleo/Industrialización</t>
        </is>
      </c>
      <c r="C9" s="12" t="inlineStr">
        <is>
          <t>Instrumentar el seguimiento y los KPIs del gate.</t>
        </is>
      </c>
      <c r="D9" s="12" t="inlineStr">
        <is>
          <t>Tablero + cuadro de KPIs</t>
        </is>
      </c>
      <c r="E9" s="11">
        <f>COUNTIF(Backlog!$C$2:$C$32,"N3 · Gobierno y métricas de arranque")</f>
        <v/>
      </c>
      <c r="F9" s="11">
        <f>COUNTIFS(Backlog!$C$2:$C$32,"N3 · Gobierno y métricas de arranque",Backlog!$J$2:$J$32,"Hecho")</f>
        <v/>
      </c>
      <c r="G9" s="17">
        <f>IF(E9=0,0,F9/E9)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22" customWidth="1" min="3" max="3"/>
  </cols>
  <sheetData>
    <row r="1" ht="20" customHeight="1">
      <c r="A1" s="9" t="inlineStr">
        <is>
          <t>Rol</t>
        </is>
      </c>
      <c r="B1" s="9" t="inlineStr">
        <is>
          <t>Responsabilidad en Fase 0</t>
        </is>
      </c>
      <c r="C1" s="9" t="inlineStr">
        <is>
          <t>Nombre (rellenar)</t>
        </is>
      </c>
    </row>
    <row r="2">
      <c r="A2" s="25" t="inlineStr">
        <is>
          <t>Dirección (JM)</t>
        </is>
      </c>
      <c r="B2" s="16" t="inlineStr">
        <is>
          <t>Decisiones estratégicas, aprobación de gates, prioridades.</t>
        </is>
      </c>
      <c r="C2" s="26" t="inlineStr"/>
    </row>
    <row r="3">
      <c r="A3" s="25" t="inlineStr">
        <is>
          <t>Ing. Núcleo / FEM</t>
        </is>
      </c>
      <c r="B3" s="16" t="inlineStr">
        <is>
          <t>Reproducibilidad, casos golden, oráculo numérico, puertas espejo.</t>
        </is>
      </c>
      <c r="C3" s="26" t="inlineStr"/>
    </row>
    <row r="4">
      <c r="A4" s="25" t="inlineStr">
        <is>
          <t>Ing. BIM / IFC</t>
        </is>
      </c>
      <c r="B4" s="16" t="inlineStr">
        <is>
          <t>Componentes del wedge (Visor, parser/validador IFC, ISO 19650).</t>
        </is>
      </c>
      <c r="C4" s="26" t="inlineStr"/>
    </row>
    <row r="5">
      <c r="A5" s="25" t="inlineStr">
        <is>
          <t>Producto (PM)</t>
        </is>
      </c>
      <c r="B5" s="16" t="inlineStr">
        <is>
          <t>PRD del wedge, alcance, frontera funcional, métricas.</t>
        </is>
      </c>
      <c r="C5" s="26" t="inlineStr"/>
    </row>
    <row r="6">
      <c r="A6" s="25" t="inlineStr">
        <is>
          <t>Negocio / Comercial</t>
        </is>
      </c>
      <c r="B6" s="16" t="inlineStr">
        <is>
          <t>Pipeline de pilotos, LOIs, pricing, propuesta de valor.</t>
        </is>
      </c>
      <c r="C6" s="26" t="inlineStr"/>
    </row>
    <row r="7">
      <c r="A7" s="25" t="inlineStr">
        <is>
          <t>QA / Verificación</t>
        </is>
      </c>
      <c r="B7" s="16" t="inlineStr">
        <is>
          <t>Suite de regresión, validación numérica, informe de QA.</t>
        </is>
      </c>
      <c r="C7" s="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2026-06-23T15:46:43Z</dcterms:created>
  <dcterms:modified xmlns:dcterms="http://purl.org/dc/terms/" xmlns:xsi="http://www.w3.org/2001/XMLSchema-instance" xsi:type="dcterms:W3CDTF">2026-06-23T16:06:38Z</dcterms:modified>
</cp:coreProperties>
</file>